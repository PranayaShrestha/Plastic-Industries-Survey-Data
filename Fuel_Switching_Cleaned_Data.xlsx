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leaned_Units" sheetId="2" state="visible" r:id="rId4"/>
    <sheet name="Plant_Summary" sheetId="3" state="visible" r:id="rId5"/>
    <sheet name="Data_Quality_Fla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<sst xmlns="http://schemas.openxmlformats.org/spreadsheetml/2006/main" count="252" uniqueCount="148">
  <si>
    <t xml:space="preserve">Fuel-Switching Study — Assumptions</t>
  </si>
  <si>
    <t xml:space="preserve">Blue cells are editable inputs. Every downstream sheet recalculates from these — change a value here to test a different assumption.</t>
  </si>
  <si>
    <t xml:space="preserve">Parameter</t>
  </si>
  <si>
    <t xml:space="preserve">Value</t>
  </si>
  <si>
    <t xml:space="preserve">Unit</t>
  </si>
  <si>
    <t xml:space="preserve">Notes / source (verify before final use)</t>
  </si>
  <si>
    <t xml:space="preserve">Diesel calorific value</t>
  </si>
  <si>
    <t xml:space="preserve">kWh/L</t>
  </si>
  <si>
    <t xml:space="preserve">Typical diesel LHV ~36 MJ/L (~42.8 MJ/kg @ ~0.84 kg/L). ASSUMPTION — confirm with fuel supplier or lab test.</t>
  </si>
  <si>
    <t xml:space="preserve">Pellet calorific value</t>
  </si>
  <si>
    <t xml:space="preserve">kWh/kg</t>
  </si>
  <si>
    <t xml:space="preserve">Typical biomass pellet ~17 MJ/kg, moisture-dependent. ASSUMPTION — confirm with supplier spec sheet per plant.</t>
  </si>
  <si>
    <t xml:space="preserve">Rice husk calorific value</t>
  </si>
  <si>
    <t xml:space="preserve">Typical raw rice husk ~13.5 MJ/kg (lower than pellet due to ash/moisture). ASSUMPTION — verify, esp. for Sona Packaging.</t>
  </si>
  <si>
    <t xml:space="preserve">kcal/hr → kW conversion</t>
  </si>
  <si>
    <t xml:space="preserve">kW per kcal/hr</t>
  </si>
  <si>
    <t xml:space="preserve">Standard conversion (1 kWh = 860 kcal).</t>
  </si>
  <si>
    <t xml:space="preserve">Pellet hot-air generator efficiency</t>
  </si>
  <si>
    <t xml:space="preserve">fraction</t>
  </si>
  <si>
    <t xml:space="preserve">Typical industrial biomass hot-air generator. ASSUMPTION — verify by flue-gas test if possible.</t>
  </si>
  <si>
    <t xml:space="preserve">Rice husk thermic-oil heater efficiency</t>
  </si>
  <si>
    <t xml:space="preserve">Lower than pellet due to husk ash/moisture content. ASSUMPTION.</t>
  </si>
  <si>
    <t xml:space="preserve">Diesel hot-air generator efficiency</t>
  </si>
  <si>
    <t xml:space="preserve">Typical small diesel-fired hot-air generator. ASSUMPTION.</t>
  </si>
  <si>
    <t xml:space="preserve">Electric resistance heating efficiency</t>
  </si>
  <si>
    <t xml:space="preserve">Near-unity; small enclosure/duct losses. ASSUMPTION.</t>
  </si>
  <si>
    <t xml:space="preserve">Heat pump COP (process temp ≤ 90°C)</t>
  </si>
  <si>
    <t xml:space="preserve">-</t>
  </si>
  <si>
    <t xml:space="preserve">Indicative industrial heat-pump COP at this lift. ASSUMPTION — confirm against a shortlisted vendor's spec at the actual required lift.</t>
  </si>
  <si>
    <t xml:space="preserve">Load band midpoint: 50–75%</t>
  </si>
  <si>
    <t xml:space="preserve">Midpoint of the survey's qualitative load-band answer.</t>
  </si>
  <si>
    <t xml:space="preserve">Load band midpoint: 75–100%</t>
  </si>
  <si>
    <t xml:space="preserve">Load band midpoint: Variable / Don't know</t>
  </si>
  <si>
    <t xml:space="preserve">Conservative default only — these units should be prioritised for a follow-up metered reading.</t>
  </si>
  <si>
    <t xml:space="preserve">Cleaned &amp; Normalized Unit-Level Data</t>
  </si>
  <si>
    <t xml:space="preserve">One row per heater. Grey columns = raw survey data (unchanged). White columns = calculated from the Assumptions sheet. Flag columns call out rows worth a follow-up call before they go into any model.</t>
  </si>
  <si>
    <t xml:space="preserve">Industry</t>
  </si>
  <si>
    <t xml:space="preserve">Category</t>
  </si>
  <si>
    <t xml:space="preserve">Arrangement</t>
  </si>
  <si>
    <t xml:space="preserve">Fuel</t>
  </si>
  <si>
    <t xml:space="preserve">Cap (kcal/hr)</t>
  </si>
  <si>
    <t xml:space="preserve">Cap (kW, raw)</t>
  </si>
  <si>
    <t xml:space="preserve">Cap (kW, normalized)</t>
  </si>
  <si>
    <t xml:space="preserve">Load band</t>
  </si>
  <si>
    <t xml:space="preserve">Load midpoint</t>
  </si>
  <si>
    <t xml:space="preserve">Hours/day</t>
  </si>
  <si>
    <t xml:space="preserve">Op. days/yr</t>
  </si>
  <si>
    <t xml:space="preserve">Fuel (L/day)</t>
  </si>
  <si>
    <t xml:space="preserve">Fuel (kg/day)</t>
  </si>
  <si>
    <t xml:space="preserve">Elec (kWh/day)</t>
  </si>
  <si>
    <t xml:space="preserve">Fuel energy input (kWh/day)</t>
  </si>
  <si>
    <t xml:space="preserve">Assumed efficiency</t>
  </si>
  <si>
    <t xml:space="preserve">Useful heat output (kWh/day)</t>
  </si>
  <si>
    <t xml:space="preserve">Rated theoretical output (kWh/day)</t>
  </si>
  <si>
    <t xml:space="preserve">Consistency ratio</t>
  </si>
  <si>
    <t xml:space="preserve">Consistency flag</t>
  </si>
  <si>
    <t xml:space="preserve">Annual thermal energy (kWh/yr)</t>
  </si>
  <si>
    <t xml:space="preserve">Annual cost (NPR, as reported)</t>
  </si>
  <si>
    <t xml:space="preserve">Avg thermal duty (kW)</t>
  </si>
  <si>
    <t xml:space="preserve">Electric-equivalent (kW, resistive)</t>
  </si>
  <si>
    <t xml:space="preserve">Required temp (°C)</t>
  </si>
  <si>
    <t xml:space="preserve">Heat-pump feasible?</t>
  </si>
  <si>
    <t xml:space="preserve">Electric-equivalent (kW, heat pump)</t>
  </si>
  <si>
    <t xml:space="preserve">Possible duplicate/shared-heater flag</t>
  </si>
  <si>
    <t xml:space="preserve">Analyst note</t>
  </si>
  <si>
    <t xml:space="preserve">Chandika Print Pack</t>
  </si>
  <si>
    <t xml:space="preserve">Printing</t>
  </si>
  <si>
    <t xml:space="preserve">Hot air generator</t>
  </si>
  <si>
    <t xml:space="preserve">Pellet</t>
  </si>
  <si>
    <t xml:space="preserve">50–75%</t>
  </si>
  <si>
    <t xml:space="preserve">630000</t>
  </si>
  <si>
    <t xml:space="preserve">Electric</t>
  </si>
  <si>
    <t xml:space="preserve">75000</t>
  </si>
  <si>
    <t xml:space="preserve">Shree Polythene and Plastic udhyog</t>
  </si>
  <si>
    <t xml:space="preserve">87000</t>
  </si>
  <si>
    <t xml:space="preserve">Diesel</t>
  </si>
  <si>
    <t xml:space="preserve">580000</t>
  </si>
  <si>
    <t xml:space="preserve">National Plastic Industry</t>
  </si>
  <si>
    <t xml:space="preserve">75–100%</t>
  </si>
  <si>
    <t xml:space="preserve">80640</t>
  </si>
  <si>
    <t xml:space="preserve">Godawari Printng</t>
  </si>
  <si>
    <t xml:space="preserve">103968</t>
  </si>
  <si>
    <t xml:space="preserve">Sona Packaging</t>
  </si>
  <si>
    <t xml:space="preserve">Thermic oil</t>
  </si>
  <si>
    <t xml:space="preserve">Rice Husk</t>
  </si>
  <si>
    <t xml:space="preserve">10800000</t>
  </si>
  <si>
    <t xml:space="preserve">Printing and laminating rows report identical capacity/fuel figures — likely ONE central thermic-fluid heater serving both processes, not two. See Plant_Summary note; do not sum naively.</t>
  </si>
  <si>
    <t xml:space="preserve">Uday Shree Print Pack Pvt Ltd</t>
  </si>
  <si>
    <t xml:space="preserve">Variable / Don't know</t>
  </si>
  <si>
    <t xml:space="preserve">NaN</t>
  </si>
  <si>
    <t xml:space="preserve">Submission largely incomplete (production, cost, temperature missing). Follow up before including in totals.</t>
  </si>
  <si>
    <t xml:space="preserve">Galaxy Packaging</t>
  </si>
  <si>
    <t xml:space="preserve">9000000</t>
  </si>
  <si>
    <t xml:space="preserve">3000000</t>
  </si>
  <si>
    <t xml:space="preserve">Laminating</t>
  </si>
  <si>
    <t xml:space="preserve">45000</t>
  </si>
  <si>
    <t xml:space="preserve">43500</t>
  </si>
  <si>
    <t xml:space="preserve">34560</t>
  </si>
  <si>
    <t xml:space="preserve">2998656</t>
  </si>
  <si>
    <t xml:space="preserve">Reported 1,096 kWh/day against a 28 kW nameplate — physically impossible even at 24h/day. Re-verify meter reading before use.</t>
  </si>
  <si>
    <t xml:space="preserve">1125000</t>
  </si>
  <si>
    <t xml:space="preserve">Plant-Level Summary</t>
  </si>
  <si>
    <t xml:space="preserve">Rolled up from Cleaned_Units (naive sum — see notes column for plants needing manual de-duplication).</t>
  </si>
  <si>
    <t xml:space="preserve">Total thermal capacity (kW, naive sum)</t>
  </si>
  <si>
    <t xml:space="preserve">Total annual thermal energy (kWh/yr, naive sum)</t>
  </si>
  <si>
    <t xml:space="preserve">Total electric-equivalent added load (kW, resistive)</t>
  </si>
  <si>
    <t xml:space="preserve">Existing transformer capacity</t>
  </si>
  <si>
    <t xml:space="preserve">Max demand last year</t>
  </si>
  <si>
    <t xml:space="preserve">Approx. headroom</t>
  </si>
  <si>
    <t xml:space="preserve">Added load vs. headroom</t>
  </si>
  <si>
    <t xml:space="preserve">Spare capacity reported?</t>
  </si>
  <si>
    <t xml:space="preserve">Grid reliability</t>
  </si>
  <si>
    <t xml:space="preserve">Note</t>
  </si>
  <si>
    <t xml:space="preserve">Yes</t>
  </si>
  <si>
    <t xml:space="preserve">Reliable</t>
  </si>
  <si>
    <t xml:space="preserve">No</t>
  </si>
  <si>
    <t xml:space="preserve">Laminating unit has an implausible consumption reading – re-verify before trusting this total.</t>
  </si>
  <si>
    <t xml:space="preserve">Moderate</t>
  </si>
  <si>
    <t xml:space="preserve">Printing/laminating heater figures look identical – likely ONE shared central heater double-counted here. Treat this total as an upper bound until confirmed.</t>
  </si>
  <si>
    <t xml:space="preserve">Submission mostly incomplete – totals below are partial, not representative.</t>
  </si>
  <si>
    <t xml:space="preserve">Data Quality Flags — Follow Up Before Final Modelling</t>
  </si>
  <si>
    <t xml:space="preserve">#</t>
  </si>
  <si>
    <t xml:space="preserve">Industry / scope</t>
  </si>
  <si>
    <t xml:space="preserve">Issue</t>
  </si>
  <si>
    <t xml:space="preserve">Why it matters</t>
  </si>
  <si>
    <t xml:space="preserve">Recommended action</t>
  </si>
  <si>
    <t xml:space="preserve">Printing-unit and laminating-unit rows report identical heater capacity, fuel type and daily consumption (1,000,000 kcal/hr, rice husk, 3,000 kg/day).</t>
  </si>
  <si>
    <t xml:space="preserve">Strong sign it is one central thermic-fluid loop feeding both processes, not two separate heaters. Naively summing the two rows roughly doubles the true energy and capacity figures for this plant.</t>
  </si>
  <si>
    <t xml:space="preserve">Confirm with the plant whether printing and laminating share one heater. If yes, use only one of the two rows in any total.</t>
  </si>
  <si>
    <t xml:space="preserve">Godawari Printng – laminating unit</t>
  </si>
  <si>
    <t xml:space="preserve">28 kW nameplate reported alongside 1,096 kWh/day consumption – exceeds the physical maximum (672 kWh/day at 24h) by ~60%.</t>
  </si>
  <si>
    <t xml:space="preserve">Either the capacity, the consumption reading, or a decimal/unit was mis-recorded. As-is, it will distort any per-plant energy or cost total.</t>
  </si>
  <si>
    <t xml:space="preserve">Re-contact the plant to re-verify both the nameplate rating and the electricity bill/meter reading for this unit.</t>
  </si>
  <si>
    <t xml:space="preserve">Production, operating days, annual fuel quantity, annual cost and required temperature are all missing.</t>
  </si>
  <si>
    <t xml:space="preserve">Not enough data to place this plant in the energy baseline or the techno-economic model yet.</t>
  </si>
  <si>
    <t xml:space="preserve">Follow up to complete the submission before including this plant in Phase 1 onward.</t>
  </si>
  <si>
    <t xml:space="preserve">All plants</t>
  </si>
  <si>
    <t xml:space="preserve">"Daily production?" has no stated unit in the survey (values recorded: 800–15,000).</t>
  </si>
  <si>
    <t xml:space="preserve">Needed to compute specific energy consumption (kWh per kg of product), the most defensible cross-plant benchmark and the basis for extrapolating to the wider sector.</t>
  </si>
  <si>
    <t xml:space="preserve">Add a unit to this survey question (confirm kg/day vs. another unit) before the next round of data collection.</t>
  </si>
  <si>
    <t xml:space="preserve">2 units (Uday Shree printing; Galaxy Packaging printing unit 3)</t>
  </si>
  <si>
    <t xml:space="preserve">Load band recorded as "Variable / Don't know".</t>
  </si>
  <si>
    <t xml:space="preserve">The energy and cost figures for these units currently rely on a conservative default 50% load assumption rather than a real reading.</t>
  </si>
  <si>
    <t xml:space="preserve">Prioritise these units for a short metered spot-check rather than relying on the survey answer.</t>
  </si>
  <si>
    <t xml:space="preserve">Whole dataset</t>
  </si>
  <si>
    <t xml:space="preserve">Only 7 industries submitted so far.</t>
  </si>
  <si>
    <t xml:space="preserve">Fine for the inception/pilot stage, but any sector-wide extrapolation now would carry wide uncertainty bands.</t>
  </si>
  <si>
    <t xml:space="preserve">Treat Phase 1–4 outputs as provisional until the fuller inventory (per the ToR's industry-mapping step) is surveyed.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</si>
</sst>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4" t="s">
        <v>6</v>
      </c>
      <c r="B5" s="5" t="n">
        <v>10</v>
      </c>
      <c r="C5" s="4" t="s">
        <v>7</v>
      </c>
      <c r="D5" s="6" t="s">
        <v>8</v>
      </c>
    </row>
    <row r="6" customFormat="false" ht="30" hidden="false" customHeight="true" outlineLevel="0" collapsed="false">
      <c r="A6" s="4" t="s">
        <v>9</v>
      </c>
      <c r="B6" s="5" t="n">
        <v>4.7</v>
      </c>
      <c r="C6" s="4" t="s">
        <v>10</v>
      </c>
      <c r="D6" s="6" t="s">
        <v>11</v>
      </c>
    </row>
    <row r="7" customFormat="false" ht="30" hidden="false" customHeight="true" outlineLevel="0" collapsed="false">
      <c r="A7" s="4" t="s">
        <v>12</v>
      </c>
      <c r="B7" s="5" t="n">
        <v>3.75</v>
      </c>
      <c r="C7" s="4" t="s">
        <v>10</v>
      </c>
      <c r="D7" s="6" t="s">
        <v>13</v>
      </c>
    </row>
    <row r="8" customFormat="false" ht="30" hidden="false" customHeight="true" outlineLevel="0" collapsed="false">
      <c r="A8" s="4" t="s">
        <v>14</v>
      </c>
      <c r="B8" s="5" t="n">
        <v>0.001163</v>
      </c>
      <c r="C8" s="4" t="s">
        <v>15</v>
      </c>
      <c r="D8" s="6" t="s">
        <v>16</v>
      </c>
    </row>
    <row r="9" customFormat="false" ht="30" hidden="false" customHeight="true" outlineLevel="0" collapsed="false">
      <c r="A9" s="4" t="s">
        <v>17</v>
      </c>
      <c r="B9" s="5" t="n">
        <v>0.8</v>
      </c>
      <c r="C9" s="4" t="s">
        <v>18</v>
      </c>
      <c r="D9" s="6" t="s">
        <v>19</v>
      </c>
    </row>
    <row r="10" customFormat="false" ht="30" hidden="false" customHeight="true" outlineLevel="0" collapsed="false">
      <c r="A10" s="4" t="s">
        <v>20</v>
      </c>
      <c r="B10" s="5" t="n">
        <v>0.7</v>
      </c>
      <c r="C10" s="4" t="s">
        <v>18</v>
      </c>
      <c r="D10" s="6" t="s">
        <v>21</v>
      </c>
    </row>
    <row r="11" customFormat="false" ht="30" hidden="false" customHeight="true" outlineLevel="0" collapsed="false">
      <c r="A11" s="4" t="s">
        <v>22</v>
      </c>
      <c r="B11" s="5" t="n">
        <v>0.82</v>
      </c>
      <c r="C11" s="4" t="s">
        <v>18</v>
      </c>
      <c r="D11" s="6" t="s">
        <v>23</v>
      </c>
    </row>
    <row r="12" customFormat="false" ht="30" hidden="false" customHeight="true" outlineLevel="0" collapsed="false">
      <c r="A12" s="4" t="s">
        <v>24</v>
      </c>
      <c r="B12" s="5" t="n">
        <v>0.98</v>
      </c>
      <c r="C12" s="4" t="s">
        <v>18</v>
      </c>
      <c r="D12" s="6" t="s">
        <v>25</v>
      </c>
    </row>
    <row r="13" customFormat="false" ht="30" hidden="false" customHeight="true" outlineLevel="0" collapsed="false">
      <c r="A13" s="4" t="s">
        <v>26</v>
      </c>
      <c r="B13" s="5" t="n">
        <v>2.8</v>
      </c>
      <c r="C13" s="4" t="s">
        <v>27</v>
      </c>
      <c r="D13" s="6" t="s">
        <v>28</v>
      </c>
    </row>
    <row r="14" customFormat="false" ht="30" hidden="false" customHeight="true" outlineLevel="0" collapsed="false">
      <c r="A14" s="4" t="s">
        <v>29</v>
      </c>
      <c r="B14" s="5" t="n">
        <v>0.625</v>
      </c>
      <c r="C14" s="4" t="s">
        <v>18</v>
      </c>
      <c r="D14" s="6" t="s">
        <v>30</v>
      </c>
    </row>
    <row r="15" customFormat="false" ht="30" hidden="false" customHeight="true" outlineLevel="0" collapsed="false">
      <c r="A15" s="4" t="s">
        <v>31</v>
      </c>
      <c r="B15" s="5" t="n">
        <v>0.875</v>
      </c>
      <c r="C15" s="4" t="s">
        <v>18</v>
      </c>
      <c r="D15" s="6" t="s">
        <v>30</v>
      </c>
    </row>
    <row r="16" customFormat="false" ht="30" hidden="false" customHeight="true" outlineLevel="0" collapsed="false">
      <c r="A16" s="4" t="s">
        <v>32</v>
      </c>
      <c r="B16" s="5" t="n">
        <v>0.5</v>
      </c>
      <c r="C16" s="4" t="s">
        <v>18</v>
      </c>
      <c r="D16" s="6" t="s">
        <v>33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15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4"/>
    <col collapsed="false" customWidth="true" hidden="false" outlineLevel="0" max="28" min="28" style="0" width="18"/>
    <col collapsed="false" customWidth="true" hidden="false" outlineLevel="0" max="29" min="29" style="0" width="34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</row>
    <row r="4" customFormat="false" ht="46.2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  <c r="Y4" s="3" t="s">
        <v>60</v>
      </c>
      <c r="Z4" s="3" t="s">
        <v>61</v>
      </c>
      <c r="AA4" s="3" t="s">
        <v>62</v>
      </c>
      <c r="AB4" s="3" t="s">
        <v>63</v>
      </c>
      <c r="AC4" s="3" t="s">
        <v>64</v>
      </c>
    </row>
    <row r="5" customFormat="false" ht="15" hidden="false" customHeight="false" outlineLevel="0" collapsed="false">
      <c r="A5" s="7" t="s">
        <v>65</v>
      </c>
      <c r="B5" s="7" t="s">
        <v>66</v>
      </c>
      <c r="C5" s="7" t="s">
        <v>67</v>
      </c>
      <c r="D5" s="7" t="s">
        <v>68</v>
      </c>
      <c r="E5" s="7" t="n">
        <v>50000</v>
      </c>
      <c r="F5" s="7"/>
      <c r="G5" s="8" t="n">
        <f aca="false">IF(F5&lt;&gt;"",F5,IF(E5&lt;&gt;"",E5*Assumptions!$B$8,""))</f>
        <v>58.15</v>
      </c>
      <c r="H5" s="7" t="s">
        <v>69</v>
      </c>
      <c r="I5" s="8" t="n">
        <f aca="false">IF(H5="50–75%",Assumptions!$B$14,IF(H5="75–100%",Assumptions!$B$15,IF(H5="Variable / Don't know",Assumptions!$B$16,"")))</f>
        <v>0.625</v>
      </c>
      <c r="J5" s="7" t="n">
        <v>10</v>
      </c>
      <c r="K5" s="7" t="n">
        <v>300</v>
      </c>
      <c r="L5" s="7"/>
      <c r="M5" s="7" t="n">
        <v>60</v>
      </c>
      <c r="N5" s="7"/>
      <c r="O5" s="8" t="n">
        <f aca="false">IF(D5="Diesel",L5*Assumptions!$B$5,IF(D5="Pellet",M5*Assumptions!$B$6,IF(D5="Rice Husk",M5*Assumptions!$B$7,IF(D5="Electric",N5,""))))</f>
        <v>282</v>
      </c>
      <c r="P5" s="8" t="n">
        <f aca="false">IF(D5="Electric",Assumptions!$B$12,IF(D5="Pellet",Assumptions!$B$9,IF(D5="Rice Husk",Assumptions!$B$10,IF(D5="Diesel",Assumptions!$B$11,""))))</f>
        <v>0.8</v>
      </c>
      <c r="Q5" s="8" t="n">
        <f aca="false">IF(AND(ISNUMBER(O5),ISNUMBER(P5)),O5*P5,"")</f>
        <v>225.6</v>
      </c>
      <c r="R5" s="8" t="n">
        <f aca="false">IF(AND(ISNUMBER(G5),ISNUMBER(J5),ISNUMBER(I5)),G5*J5*I5,"")</f>
        <v>363.4375</v>
      </c>
      <c r="S5" s="8" t="n">
        <f aca="false">IFERROR(Q5/R5,"")</f>
        <v>0.620739466895959</v>
      </c>
      <c r="T5" s="4" t="str">
        <f aca="false">IF(S5="","insufficient data",IF(OR(S5&gt;1.3,S5&lt;0.05),"CHECK – implausible vs rated capacity","plausible"))</f>
        <v>plausible</v>
      </c>
      <c r="U5" s="8" t="n">
        <f aca="false">IF(AND(ISNUMBER(Q5),ISNUMBER(K5)),Q5*K5,"")</f>
        <v>67680</v>
      </c>
      <c r="V5" s="7" t="s">
        <v>70</v>
      </c>
      <c r="W5" s="8" t="n">
        <f aca="false">IF(AND(ISNUMBER(Q5),ISNUMBER(J5),J5&lt;&gt;0),Q5/J5,"")</f>
        <v>22.56</v>
      </c>
      <c r="X5" s="8" t="n">
        <f aca="false">IF(ISNUMBER(W5),W5/Assumptions!$B$12,"")</f>
        <v>23.0204081632653</v>
      </c>
      <c r="Y5" s="7" t="n">
        <v>55</v>
      </c>
      <c r="Z5" s="8" t="str">
        <f aca="false">IF(ISNUMBER(Y5),IF(Y5&lt;=90,"Yes","No – high temp"),"Unknown")</f>
        <v>Yes</v>
      </c>
      <c r="AA5" s="8" t="n">
        <f aca="false">IF(AND(ISNUMBER(W5),Z5="Yes"),W5/Assumptions!$B$13,"N/A")</f>
        <v>8.05714285714286</v>
      </c>
      <c r="AB5" s="8" t="str">
        <f aca="false">IF(COUNTIFS($A$5:$A$22,A5,$D$5:$D$22,D5,$M$5:$M$22,M5)&gt;1,"Check – possible shared heater","")</f>
        <v/>
      </c>
      <c r="AC5" s="8"/>
    </row>
    <row r="6" customFormat="false" ht="15" hidden="false" customHeight="false" outlineLevel="0" collapsed="false">
      <c r="A6" s="7" t="s">
        <v>65</v>
      </c>
      <c r="B6" s="7" t="s">
        <v>66</v>
      </c>
      <c r="C6" s="7" t="s">
        <v>67</v>
      </c>
      <c r="D6" s="7" t="s">
        <v>71</v>
      </c>
      <c r="E6" s="7"/>
      <c r="F6" s="7" t="n">
        <v>85</v>
      </c>
      <c r="G6" s="8" t="n">
        <f aca="false">IF(F6&lt;&gt;"",F6,IF(E6&lt;&gt;"",E6*Assumptions!$B$8,""))</f>
        <v>85</v>
      </c>
      <c r="H6" s="7" t="s">
        <v>69</v>
      </c>
      <c r="I6" s="8" t="n">
        <f aca="false">IF(H6="50–75%",Assumptions!$B$14,IF(H6="75–100%",Assumptions!$B$15,IF(H6="Variable / Don't know",Assumptions!$B$16,"")))</f>
        <v>0.625</v>
      </c>
      <c r="J6" s="7" t="n">
        <v>10</v>
      </c>
      <c r="K6" s="7" t="n">
        <v>300</v>
      </c>
      <c r="L6" s="7"/>
      <c r="M6" s="7"/>
      <c r="N6" s="7" t="n">
        <v>25</v>
      </c>
      <c r="O6" s="8" t="n">
        <f aca="false">IF(D6="Diesel",L6*Assumptions!$B$5,IF(D6="Pellet",M6*Assumptions!$B$6,IF(D6="Rice Husk",M6*Assumptions!$B$7,IF(D6="Electric",N6,""))))</f>
        <v>25</v>
      </c>
      <c r="P6" s="8" t="n">
        <f aca="false">IF(D6="Electric",Assumptions!$B$12,IF(D6="Pellet",Assumptions!$B$9,IF(D6="Rice Husk",Assumptions!$B$10,IF(D6="Diesel",Assumptions!$B$11,""))))</f>
        <v>0.98</v>
      </c>
      <c r="Q6" s="8" t="n">
        <f aca="false">IF(AND(ISNUMBER(O6),ISNUMBER(P6)),O6*P6,"")</f>
        <v>24.5</v>
      </c>
      <c r="R6" s="8" t="n">
        <f aca="false">IF(AND(ISNUMBER(G6),ISNUMBER(J6),ISNUMBER(I6)),G6*J6*I6,"")</f>
        <v>531.25</v>
      </c>
      <c r="S6" s="8" t="n">
        <f aca="false">IFERROR(Q6/R6,"")</f>
        <v>0.0461176470588235</v>
      </c>
      <c r="T6" s="4" t="str">
        <f aca="false">IF(S6="","insufficient data",IF(OR(S6&gt;1.3,S6&lt;0.05),"CHECK – implausible vs rated capacity","plausible"))</f>
        <v>CHECK – implausible vs rated capacity</v>
      </c>
      <c r="U6" s="8" t="n">
        <f aca="false">IF(AND(ISNUMBER(Q6),ISNUMBER(K6)),Q6*K6,"")</f>
        <v>7350</v>
      </c>
      <c r="V6" s="7" t="s">
        <v>72</v>
      </c>
      <c r="W6" s="8" t="n">
        <f aca="false">IF(AND(ISNUMBER(Q6),ISNUMBER(J6),J6&lt;&gt;0),Q6/J6,"")</f>
        <v>2.45</v>
      </c>
      <c r="X6" s="8" t="n">
        <f aca="false">IF(ISNUMBER(W6),W6/Assumptions!$B$12,"")</f>
        <v>2.5</v>
      </c>
      <c r="Y6" s="7" t="n">
        <v>55</v>
      </c>
      <c r="Z6" s="8" t="str">
        <f aca="false">IF(ISNUMBER(Y6),IF(Y6&lt;=90,"Yes","No – high temp"),"Unknown")</f>
        <v>Yes</v>
      </c>
      <c r="AA6" s="8" t="n">
        <f aca="false">IF(AND(ISNUMBER(W6),Z6="Yes"),W6/Assumptions!$B$13,"N/A")</f>
        <v>0.875</v>
      </c>
      <c r="AB6" s="8" t="str">
        <f aca="false">IF(COUNTIFS($A$5:$A$22,A6,$D$5:$D$22,D6,$M$5:$M$22,M6)&gt;1,"Check – possible shared heater","")</f>
        <v/>
      </c>
      <c r="AC6" s="8"/>
    </row>
    <row r="7" customFormat="false" ht="15" hidden="false" customHeight="false" outlineLevel="0" collapsed="false">
      <c r="A7" s="7" t="s">
        <v>73</v>
      </c>
      <c r="B7" s="7" t="s">
        <v>66</v>
      </c>
      <c r="C7" s="7" t="s">
        <v>67</v>
      </c>
      <c r="D7" s="7" t="s">
        <v>71</v>
      </c>
      <c r="E7" s="7"/>
      <c r="F7" s="7" t="n">
        <v>90</v>
      </c>
      <c r="G7" s="8" t="n">
        <f aca="false">IF(F7&lt;&gt;"",F7,IF(E7&lt;&gt;"",E7*Assumptions!$B$8,""))</f>
        <v>90</v>
      </c>
      <c r="H7" s="7" t="s">
        <v>69</v>
      </c>
      <c r="I7" s="8" t="n">
        <f aca="false">IF(H7="50–75%",Assumptions!$B$14,IF(H7="75–100%",Assumptions!$B$15,IF(H7="Variable / Don't know",Assumptions!$B$16,"")))</f>
        <v>0.625</v>
      </c>
      <c r="J7" s="7" t="n">
        <v>10</v>
      </c>
      <c r="K7" s="7" t="n">
        <v>290</v>
      </c>
      <c r="L7" s="7"/>
      <c r="M7" s="7"/>
      <c r="N7" s="7" t="n">
        <v>30</v>
      </c>
      <c r="O7" s="8" t="n">
        <f aca="false">IF(D7="Diesel",L7*Assumptions!$B$5,IF(D7="Pellet",M7*Assumptions!$B$6,IF(D7="Rice Husk",M7*Assumptions!$B$7,IF(D7="Electric",N7,""))))</f>
        <v>30</v>
      </c>
      <c r="P7" s="8" t="n">
        <f aca="false">IF(D7="Electric",Assumptions!$B$12,IF(D7="Pellet",Assumptions!$B$9,IF(D7="Rice Husk",Assumptions!$B$10,IF(D7="Diesel",Assumptions!$B$11,""))))</f>
        <v>0.98</v>
      </c>
      <c r="Q7" s="8" t="n">
        <f aca="false">IF(AND(ISNUMBER(O7),ISNUMBER(P7)),O7*P7,"")</f>
        <v>29.4</v>
      </c>
      <c r="R7" s="8" t="n">
        <f aca="false">IF(AND(ISNUMBER(G7),ISNUMBER(J7),ISNUMBER(I7)),G7*J7*I7,"")</f>
        <v>562.5</v>
      </c>
      <c r="S7" s="8" t="n">
        <f aca="false">IFERROR(Q7/R7,"")</f>
        <v>0.0522666666666667</v>
      </c>
      <c r="T7" s="4" t="str">
        <f aca="false">IF(S7="","insufficient data",IF(OR(S7&gt;1.3,S7&lt;0.05),"CHECK – implausible vs rated capacity","plausible"))</f>
        <v>plausible</v>
      </c>
      <c r="U7" s="8" t="n">
        <f aca="false">IF(AND(ISNUMBER(Q7),ISNUMBER(K7)),Q7*K7,"")</f>
        <v>8526</v>
      </c>
      <c r="V7" s="7" t="s">
        <v>74</v>
      </c>
      <c r="W7" s="8" t="n">
        <f aca="false">IF(AND(ISNUMBER(Q7),ISNUMBER(J7),J7&lt;&gt;0),Q7/J7,"")</f>
        <v>2.94</v>
      </c>
      <c r="X7" s="8" t="n">
        <f aca="false">IF(ISNUMBER(W7),W7/Assumptions!$B$12,"")</f>
        <v>3</v>
      </c>
      <c r="Y7" s="7" t="n">
        <v>60</v>
      </c>
      <c r="Z7" s="8" t="str">
        <f aca="false">IF(ISNUMBER(Y7),IF(Y7&lt;=90,"Yes","No – high temp"),"Unknown")</f>
        <v>Yes</v>
      </c>
      <c r="AA7" s="8" t="n">
        <f aca="false">IF(AND(ISNUMBER(W7),Z7="Yes"),W7/Assumptions!$B$13,"N/A")</f>
        <v>1.05</v>
      </c>
      <c r="AB7" s="8" t="str">
        <f aca="false">IF(COUNTIFS($A$5:$A$22,A7,$D$5:$D$22,D7,$M$5:$M$22,M7)&gt;1,"Check – possible shared heater","")</f>
        <v/>
      </c>
      <c r="AC7" s="8"/>
    </row>
    <row r="8" customFormat="false" ht="15" hidden="false" customHeight="false" outlineLevel="0" collapsed="false">
      <c r="A8" s="7" t="s">
        <v>73</v>
      </c>
      <c r="B8" s="7" t="s">
        <v>66</v>
      </c>
      <c r="C8" s="7" t="s">
        <v>67</v>
      </c>
      <c r="D8" s="7" t="s">
        <v>75</v>
      </c>
      <c r="E8" s="7" t="n">
        <v>50000</v>
      </c>
      <c r="F8" s="7"/>
      <c r="G8" s="8" t="n">
        <f aca="false">IF(F8&lt;&gt;"",F8,IF(E8&lt;&gt;"",E8*Assumptions!$B$8,""))</f>
        <v>58.15</v>
      </c>
      <c r="H8" s="7" t="s">
        <v>69</v>
      </c>
      <c r="I8" s="8" t="n">
        <f aca="false">IF(H8="50–75%",Assumptions!$B$14,IF(H8="75–100%",Assumptions!$B$15,IF(H8="Variable / Don't know",Assumptions!$B$16,"")))</f>
        <v>0.625</v>
      </c>
      <c r="J8" s="7" t="n">
        <v>10</v>
      </c>
      <c r="K8" s="7" t="n">
        <v>290</v>
      </c>
      <c r="L8" s="7" t="n">
        <v>10</v>
      </c>
      <c r="M8" s="7"/>
      <c r="N8" s="7"/>
      <c r="O8" s="8" t="n">
        <f aca="false">IF(D8="Diesel",L8*Assumptions!$B$5,IF(D8="Pellet",M8*Assumptions!$B$6,IF(D8="Rice Husk",M8*Assumptions!$B$7,IF(D8="Electric",N8,""))))</f>
        <v>100</v>
      </c>
      <c r="P8" s="8" t="n">
        <f aca="false">IF(D8="Electric",Assumptions!$B$12,IF(D8="Pellet",Assumptions!$B$9,IF(D8="Rice Husk",Assumptions!$B$10,IF(D8="Diesel",Assumptions!$B$11,""))))</f>
        <v>0.82</v>
      </c>
      <c r="Q8" s="8" t="n">
        <f aca="false">IF(AND(ISNUMBER(O8),ISNUMBER(P8)),O8*P8,"")</f>
        <v>82</v>
      </c>
      <c r="R8" s="8" t="n">
        <f aca="false">IF(AND(ISNUMBER(G8),ISNUMBER(J8),ISNUMBER(I8)),G8*J8*I8,"")</f>
        <v>363.4375</v>
      </c>
      <c r="S8" s="8" t="n">
        <f aca="false">IFERROR(Q8/R8,"")</f>
        <v>0.225623387790198</v>
      </c>
      <c r="T8" s="4" t="str">
        <f aca="false">IF(S8="","insufficient data",IF(OR(S8&gt;1.3,S8&lt;0.05),"CHECK – implausible vs rated capacity","plausible"))</f>
        <v>plausible</v>
      </c>
      <c r="U8" s="8" t="n">
        <f aca="false">IF(AND(ISNUMBER(Q8),ISNUMBER(K8)),Q8*K8,"")</f>
        <v>23780</v>
      </c>
      <c r="V8" s="7" t="s">
        <v>76</v>
      </c>
      <c r="W8" s="8" t="n">
        <f aca="false">IF(AND(ISNUMBER(Q8),ISNUMBER(J8),J8&lt;&gt;0),Q8/J8,"")</f>
        <v>8.2</v>
      </c>
      <c r="X8" s="8" t="n">
        <f aca="false">IF(ISNUMBER(W8),W8/Assumptions!$B$12,"")</f>
        <v>8.36734693877551</v>
      </c>
      <c r="Y8" s="7" t="n">
        <v>50</v>
      </c>
      <c r="Z8" s="8" t="str">
        <f aca="false">IF(ISNUMBER(Y8),IF(Y8&lt;=90,"Yes","No – high temp"),"Unknown")</f>
        <v>Yes</v>
      </c>
      <c r="AA8" s="8" t="n">
        <f aca="false">IF(AND(ISNUMBER(W8),Z8="Yes"),W8/Assumptions!$B$13,"N/A")</f>
        <v>2.92857142857143</v>
      </c>
      <c r="AB8" s="8" t="str">
        <f aca="false">IF(COUNTIFS($A$5:$A$22,A8,$D$5:$D$22,D8,$M$5:$M$22,M8)&gt;1,"Check – possible shared heater","")</f>
        <v/>
      </c>
      <c r="AC8" s="8"/>
    </row>
    <row r="9" customFormat="false" ht="15" hidden="false" customHeight="false" outlineLevel="0" collapsed="false">
      <c r="A9" s="7" t="s">
        <v>77</v>
      </c>
      <c r="B9" s="7" t="s">
        <v>66</v>
      </c>
      <c r="C9" s="7" t="s">
        <v>67</v>
      </c>
      <c r="D9" s="7" t="s">
        <v>71</v>
      </c>
      <c r="E9" s="7"/>
      <c r="F9" s="7" t="n">
        <v>80</v>
      </c>
      <c r="G9" s="8" t="n">
        <f aca="false">IF(F9&lt;&gt;"",F9,IF(E9&lt;&gt;"",E9*Assumptions!$B$8,""))</f>
        <v>80</v>
      </c>
      <c r="H9" s="7" t="s">
        <v>78</v>
      </c>
      <c r="I9" s="8" t="n">
        <f aca="false">IF(H9="50–75%",Assumptions!$B$14,IF(H9="75–100%",Assumptions!$B$15,IF(H9="Variable / Don't know",Assumptions!$B$16,"")))</f>
        <v>0.875</v>
      </c>
      <c r="J9" s="7" t="n">
        <v>10</v>
      </c>
      <c r="K9" s="7" t="n">
        <v>300</v>
      </c>
      <c r="L9" s="7"/>
      <c r="M9" s="7"/>
      <c r="N9" s="7" t="n">
        <v>28</v>
      </c>
      <c r="O9" s="8" t="n">
        <f aca="false">IF(D9="Diesel",L9*Assumptions!$B$5,IF(D9="Pellet",M9*Assumptions!$B$6,IF(D9="Rice Husk",M9*Assumptions!$B$7,IF(D9="Electric",N9,""))))</f>
        <v>28</v>
      </c>
      <c r="P9" s="8" t="n">
        <f aca="false">IF(D9="Electric",Assumptions!$B$12,IF(D9="Pellet",Assumptions!$B$9,IF(D9="Rice Husk",Assumptions!$B$10,IF(D9="Diesel",Assumptions!$B$11,""))))</f>
        <v>0.98</v>
      </c>
      <c r="Q9" s="8" t="n">
        <f aca="false">IF(AND(ISNUMBER(O9),ISNUMBER(P9)),O9*P9,"")</f>
        <v>27.44</v>
      </c>
      <c r="R9" s="8" t="n">
        <f aca="false">IF(AND(ISNUMBER(G9),ISNUMBER(J9),ISNUMBER(I9)),G9*J9*I9,"")</f>
        <v>700</v>
      </c>
      <c r="S9" s="8" t="n">
        <f aca="false">IFERROR(Q9/R9,"")</f>
        <v>0.0392</v>
      </c>
      <c r="T9" s="4" t="str">
        <f aca="false">IF(S9="","insufficient data",IF(OR(S9&gt;1.3,S9&lt;0.05),"CHECK – implausible vs rated capacity","plausible"))</f>
        <v>CHECK – implausible vs rated capacity</v>
      </c>
      <c r="U9" s="8" t="n">
        <f aca="false">IF(AND(ISNUMBER(Q9),ISNUMBER(K9)),Q9*K9,"")</f>
        <v>8232</v>
      </c>
      <c r="V9" s="7" t="s">
        <v>79</v>
      </c>
      <c r="W9" s="8" t="n">
        <f aca="false">IF(AND(ISNUMBER(Q9),ISNUMBER(J9),J9&lt;&gt;0),Q9/J9,"")</f>
        <v>2.744</v>
      </c>
      <c r="X9" s="8" t="n">
        <f aca="false">IF(ISNUMBER(W9),W9/Assumptions!$B$12,"")</f>
        <v>2.8</v>
      </c>
      <c r="Y9" s="7" t="n">
        <v>55</v>
      </c>
      <c r="Z9" s="8" t="str">
        <f aca="false">IF(ISNUMBER(Y9),IF(Y9&lt;=90,"Yes","No – high temp"),"Unknown")</f>
        <v>Yes</v>
      </c>
      <c r="AA9" s="8" t="n">
        <f aca="false">IF(AND(ISNUMBER(W9),Z9="Yes"),W9/Assumptions!$B$13,"N/A")</f>
        <v>0.98</v>
      </c>
      <c r="AB9" s="8" t="str">
        <f aca="false">IF(COUNTIFS($A$5:$A$22,A9,$D$5:$D$22,D9,$M$5:$M$22,M9)&gt;1,"Check – possible shared heater","")</f>
        <v/>
      </c>
      <c r="AC9" s="8"/>
    </row>
    <row r="10" customFormat="false" ht="15" hidden="false" customHeight="false" outlineLevel="0" collapsed="false">
      <c r="A10" s="7" t="s">
        <v>80</v>
      </c>
      <c r="B10" s="7" t="s">
        <v>66</v>
      </c>
      <c r="C10" s="7" t="s">
        <v>67</v>
      </c>
      <c r="D10" s="7" t="s">
        <v>71</v>
      </c>
      <c r="E10" s="7"/>
      <c r="F10" s="7" t="n">
        <v>90</v>
      </c>
      <c r="G10" s="8" t="n">
        <f aca="false">IF(F10&lt;&gt;"",F10,IF(E10&lt;&gt;"",E10*Assumptions!$B$8,""))</f>
        <v>90</v>
      </c>
      <c r="H10" s="7" t="s">
        <v>69</v>
      </c>
      <c r="I10" s="8" t="n">
        <f aca="false">IF(H10="50–75%",Assumptions!$B$14,IF(H10="75–100%",Assumptions!$B$15,IF(H10="Variable / Don't know",Assumptions!$B$16,"")))</f>
        <v>0.625</v>
      </c>
      <c r="J10" s="7" t="n">
        <v>10</v>
      </c>
      <c r="K10" s="7" t="n">
        <v>285</v>
      </c>
      <c r="L10" s="7"/>
      <c r="M10" s="7"/>
      <c r="N10" s="7" t="n">
        <v>38</v>
      </c>
      <c r="O10" s="8" t="n">
        <f aca="false">IF(D10="Diesel",L10*Assumptions!$B$5,IF(D10="Pellet",M10*Assumptions!$B$6,IF(D10="Rice Husk",M10*Assumptions!$B$7,IF(D10="Electric",N10,""))))</f>
        <v>38</v>
      </c>
      <c r="P10" s="8" t="n">
        <f aca="false">IF(D10="Electric",Assumptions!$B$12,IF(D10="Pellet",Assumptions!$B$9,IF(D10="Rice Husk",Assumptions!$B$10,IF(D10="Diesel",Assumptions!$B$11,""))))</f>
        <v>0.98</v>
      </c>
      <c r="Q10" s="8" t="n">
        <f aca="false">IF(AND(ISNUMBER(O10),ISNUMBER(P10)),O10*P10,"")</f>
        <v>37.24</v>
      </c>
      <c r="R10" s="8" t="n">
        <f aca="false">IF(AND(ISNUMBER(G10),ISNUMBER(J10),ISNUMBER(I10)),G10*J10*I10,"")</f>
        <v>562.5</v>
      </c>
      <c r="S10" s="8" t="n">
        <f aca="false">IFERROR(Q10/R10,"")</f>
        <v>0.0662044444444445</v>
      </c>
      <c r="T10" s="4" t="str">
        <f aca="false">IF(S10="","insufficient data",IF(OR(S10&gt;1.3,S10&lt;0.05),"CHECK – implausible vs rated capacity","plausible"))</f>
        <v>plausible</v>
      </c>
      <c r="U10" s="8" t="n">
        <f aca="false">IF(AND(ISNUMBER(Q10),ISNUMBER(K10)),Q10*K10,"")</f>
        <v>10613.4</v>
      </c>
      <c r="V10" s="7" t="s">
        <v>81</v>
      </c>
      <c r="W10" s="8" t="n">
        <f aca="false">IF(AND(ISNUMBER(Q10),ISNUMBER(J10),J10&lt;&gt;0),Q10/J10,"")</f>
        <v>3.724</v>
      </c>
      <c r="X10" s="8" t="n">
        <f aca="false">IF(ISNUMBER(W10),W10/Assumptions!$B$12,"")</f>
        <v>3.8</v>
      </c>
      <c r="Y10" s="7" t="n">
        <v>50</v>
      </c>
      <c r="Z10" s="8" t="str">
        <f aca="false">IF(ISNUMBER(Y10),IF(Y10&lt;=90,"Yes","No – high temp"),"Unknown")</f>
        <v>Yes</v>
      </c>
      <c r="AA10" s="8" t="n">
        <f aca="false">IF(AND(ISNUMBER(W10),Z10="Yes"),W10/Assumptions!$B$13,"N/A")</f>
        <v>1.33</v>
      </c>
      <c r="AB10" s="8" t="str">
        <f aca="false">IF(COUNTIFS($A$5:$A$22,A10,$D$5:$D$22,D10,$M$5:$M$22,M10)&gt;1,"Check – possible shared heater","")</f>
        <v/>
      </c>
      <c r="AC10" s="8"/>
    </row>
    <row r="11" customFormat="false" ht="15" hidden="false" customHeight="false" outlineLevel="0" collapsed="false">
      <c r="A11" s="7" t="s">
        <v>82</v>
      </c>
      <c r="B11" s="7" t="s">
        <v>66</v>
      </c>
      <c r="C11" s="7" t="s">
        <v>83</v>
      </c>
      <c r="D11" s="7" t="s">
        <v>84</v>
      </c>
      <c r="E11" s="7" t="n">
        <v>1000000</v>
      </c>
      <c r="F11" s="7"/>
      <c r="G11" s="8" t="n">
        <f aca="false">IF(F11&lt;&gt;"",F11,IF(E11&lt;&gt;"",E11*Assumptions!$B$8,""))</f>
        <v>1163</v>
      </c>
      <c r="H11" s="7" t="s">
        <v>69</v>
      </c>
      <c r="I11" s="8" t="n">
        <f aca="false">IF(H11="50–75%",Assumptions!$B$14,IF(H11="75–100%",Assumptions!$B$15,IF(H11="Variable / Don't know",Assumptions!$B$16,"")))</f>
        <v>0.625</v>
      </c>
      <c r="J11" s="7" t="n">
        <v>24</v>
      </c>
      <c r="K11" s="7" t="n">
        <v>300</v>
      </c>
      <c r="L11" s="7"/>
      <c r="M11" s="7" t="n">
        <v>3000</v>
      </c>
      <c r="N11" s="7"/>
      <c r="O11" s="8" t="n">
        <f aca="false">IF(D11="Diesel",L11*Assumptions!$B$5,IF(D11="Pellet",M11*Assumptions!$B$6,IF(D11="Rice Husk",M11*Assumptions!$B$7,IF(D11="Electric",N11,""))))</f>
        <v>11250</v>
      </c>
      <c r="P11" s="8" t="n">
        <f aca="false">IF(D11="Electric",Assumptions!$B$12,IF(D11="Pellet",Assumptions!$B$9,IF(D11="Rice Husk",Assumptions!$B$10,IF(D11="Diesel",Assumptions!$B$11,""))))</f>
        <v>0.7</v>
      </c>
      <c r="Q11" s="8" t="n">
        <f aca="false">IF(AND(ISNUMBER(O11),ISNUMBER(P11)),O11*P11,"")</f>
        <v>7875</v>
      </c>
      <c r="R11" s="8" t="n">
        <f aca="false">IF(AND(ISNUMBER(G11),ISNUMBER(J11),ISNUMBER(I11)),G11*J11*I11,"")</f>
        <v>17445</v>
      </c>
      <c r="S11" s="8" t="n">
        <f aca="false">IFERROR(Q11/R11,"")</f>
        <v>0.451418744625967</v>
      </c>
      <c r="T11" s="4" t="str">
        <f aca="false">IF(S11="","insufficient data",IF(OR(S11&gt;1.3,S11&lt;0.05),"CHECK – implausible vs rated capacity","plausible"))</f>
        <v>plausible</v>
      </c>
      <c r="U11" s="8" t="n">
        <f aca="false">IF(AND(ISNUMBER(Q11),ISNUMBER(K11)),Q11*K11,"")</f>
        <v>2362500</v>
      </c>
      <c r="V11" s="7" t="s">
        <v>85</v>
      </c>
      <c r="W11" s="8" t="n">
        <f aca="false">IF(AND(ISNUMBER(Q11),ISNUMBER(J11),J11&lt;&gt;0),Q11/J11,"")</f>
        <v>328.125</v>
      </c>
      <c r="X11" s="8" t="n">
        <f aca="false">IF(ISNUMBER(W11),W11/Assumptions!$B$12,"")</f>
        <v>334.821428571429</v>
      </c>
      <c r="Y11" s="7"/>
      <c r="Z11" s="8" t="str">
        <f aca="false">IF(ISNUMBER(Y11),IF(Y11&lt;=90,"Yes","No – high temp"),"Unknown")</f>
        <v>Unknown</v>
      </c>
      <c r="AA11" s="8" t="str">
        <f aca="false">IF(AND(ISNUMBER(W11),Z11="Yes"),W11/Assumptions!$B$13,"N/A")</f>
        <v>N/A</v>
      </c>
      <c r="AB11" s="8" t="str">
        <f aca="false">IF(COUNTIFS($A$5:$A$22,A11,$D$5:$D$22,D11,$M$5:$M$22,M11)&gt;1,"Check – possible shared heater","")</f>
        <v>Check – possible shared heater</v>
      </c>
      <c r="AC11" s="8" t="s">
        <v>86</v>
      </c>
    </row>
    <row r="12" customFormat="false" ht="15" hidden="false" customHeight="false" outlineLevel="0" collapsed="false">
      <c r="A12" s="7" t="s">
        <v>87</v>
      </c>
      <c r="B12" s="7" t="s">
        <v>66</v>
      </c>
      <c r="C12" s="7" t="s">
        <v>67</v>
      </c>
      <c r="D12" s="7" t="s">
        <v>71</v>
      </c>
      <c r="E12" s="7"/>
      <c r="F12" s="7" t="n">
        <v>144</v>
      </c>
      <c r="G12" s="8" t="n">
        <f aca="false">IF(F12&lt;&gt;"",F12,IF(E12&lt;&gt;"",E12*Assumptions!$B$8,""))</f>
        <v>144</v>
      </c>
      <c r="H12" s="7" t="s">
        <v>88</v>
      </c>
      <c r="I12" s="8" t="n">
        <f aca="false">IF(H12="50–75%",Assumptions!$B$14,IF(H12="75–100%",Assumptions!$B$15,IF(H12="Variable / Don't know",Assumptions!$B$16,"")))</f>
        <v>0.5</v>
      </c>
      <c r="J12" s="7" t="n">
        <v>20</v>
      </c>
      <c r="K12" s="7"/>
      <c r="L12" s="7"/>
      <c r="M12" s="7"/>
      <c r="N12" s="7"/>
      <c r="O12" s="8" t="n">
        <f aca="false">IF(D12="Diesel",L12*Assumptions!$B$5,IF(D12="Pellet",M12*Assumptions!$B$6,IF(D12="Rice Husk",M12*Assumptions!$B$7,IF(D12="Electric",N12,""))))</f>
        <v>0</v>
      </c>
      <c r="P12" s="8" t="n">
        <f aca="false">IF(D12="Electric",Assumptions!$B$12,IF(D12="Pellet",Assumptions!$B$9,IF(D12="Rice Husk",Assumptions!$B$10,IF(D12="Diesel",Assumptions!$B$11,""))))</f>
        <v>0.98</v>
      </c>
      <c r="Q12" s="8" t="str">
        <f aca="false">IF(AND(ISNUMBER(O12),ISNUMBER(P12)),O12*P12,"")</f>
        <v/>
      </c>
      <c r="R12" s="8" t="n">
        <f aca="false">IF(AND(ISNUMBER(G12),ISNUMBER(J12),ISNUMBER(I12)),G12*J12*I12,"")</f>
        <v>1440</v>
      </c>
      <c r="S12" s="8" t="str">
        <f aca="false">IFERROR(Q12/R12,"")</f>
        <v/>
      </c>
      <c r="T12" s="4" t="str">
        <f aca="false">IF(S12="","insufficient data",IF(OR(S12&gt;1.3,S12&lt;0.05),"CHECK – implausible vs rated capacity","plausible"))</f>
        <v>insufficient data</v>
      </c>
      <c r="U12" s="8" t="str">
        <f aca="false">IF(AND(ISNUMBER(Q12),ISNUMBER(K12)),Q12*K12,"")</f>
        <v/>
      </c>
      <c r="V12" s="7" t="s">
        <v>89</v>
      </c>
      <c r="W12" s="8" t="str">
        <f aca="false">IF(AND(ISNUMBER(Q12),ISNUMBER(J12),J12&lt;&gt;0),Q12/J12,"")</f>
        <v/>
      </c>
      <c r="X12" s="8" t="str">
        <f aca="false">IF(ISNUMBER(W12),W12/Assumptions!$B$12,"")</f>
        <v/>
      </c>
      <c r="Y12" s="7"/>
      <c r="Z12" s="8" t="str">
        <f aca="false">IF(ISNUMBER(Y12),IF(Y12&lt;=90,"Yes","No – high temp"),"Unknown")</f>
        <v>Unknown</v>
      </c>
      <c r="AA12" s="8" t="str">
        <f aca="false">IF(AND(ISNUMBER(W12),Z12="Yes"),W12/Assumptions!$B$13,"N/A")</f>
        <v>N/A</v>
      </c>
      <c r="AB12" s="8" t="str">
        <f aca="false">IF(COUNTIFS($A$5:$A$22,A12,$D$5:$D$22,D12,$M$5:$M$22,M12)&gt;1,"Check – possible shared heater","")</f>
        <v/>
      </c>
      <c r="AC12" s="8" t="s">
        <v>90</v>
      </c>
    </row>
    <row r="13" customFormat="false" ht="15" hidden="false" customHeight="false" outlineLevel="0" collapsed="false">
      <c r="A13" s="7" t="s">
        <v>91</v>
      </c>
      <c r="B13" s="7" t="s">
        <v>66</v>
      </c>
      <c r="C13" s="7" t="s">
        <v>67</v>
      </c>
      <c r="D13" s="7" t="s">
        <v>68</v>
      </c>
      <c r="E13" s="7" t="n">
        <v>600000</v>
      </c>
      <c r="F13" s="7"/>
      <c r="G13" s="8" t="n">
        <f aca="false">IF(F13&lt;&gt;"",F13,IF(E13&lt;&gt;"",E13*Assumptions!$B$8,""))</f>
        <v>697.8</v>
      </c>
      <c r="H13" s="7" t="s">
        <v>69</v>
      </c>
      <c r="I13" s="8" t="n">
        <f aca="false">IF(H13="50–75%",Assumptions!$B$14,IF(H13="75–100%",Assumptions!$B$15,IF(H13="Variable / Don't know",Assumptions!$B$16,"")))</f>
        <v>0.625</v>
      </c>
      <c r="J13" s="7" t="n">
        <v>24</v>
      </c>
      <c r="K13" s="7" t="n">
        <v>300</v>
      </c>
      <c r="L13" s="7"/>
      <c r="M13" s="7" t="n">
        <v>1200</v>
      </c>
      <c r="N13" s="7"/>
      <c r="O13" s="8" t="n">
        <f aca="false">IF(D13="Diesel",L13*Assumptions!$B$5,IF(D13="Pellet",M13*Assumptions!$B$6,IF(D13="Rice Husk",M13*Assumptions!$B$7,IF(D13="Electric",N13,""))))</f>
        <v>5640</v>
      </c>
      <c r="P13" s="8" t="n">
        <f aca="false">IF(D13="Electric",Assumptions!$B$12,IF(D13="Pellet",Assumptions!$B$9,IF(D13="Rice Husk",Assumptions!$B$10,IF(D13="Diesel",Assumptions!$B$11,""))))</f>
        <v>0.8</v>
      </c>
      <c r="Q13" s="8" t="n">
        <f aca="false">IF(AND(ISNUMBER(O13),ISNUMBER(P13)),O13*P13,"")</f>
        <v>4512</v>
      </c>
      <c r="R13" s="8" t="n">
        <f aca="false">IF(AND(ISNUMBER(G13),ISNUMBER(J13),ISNUMBER(I13)),G13*J13*I13,"")</f>
        <v>10467</v>
      </c>
      <c r="S13" s="8" t="n">
        <f aca="false">IFERROR(Q13/R13,"")</f>
        <v>0.431069074233305</v>
      </c>
      <c r="T13" s="4" t="str">
        <f aca="false">IF(S13="","insufficient data",IF(OR(S13&gt;1.3,S13&lt;0.05),"CHECK – implausible vs rated capacity","plausible"))</f>
        <v>plausible</v>
      </c>
      <c r="U13" s="8" t="n">
        <f aca="false">IF(AND(ISNUMBER(Q13),ISNUMBER(K13)),Q13*K13,"")</f>
        <v>1353600</v>
      </c>
      <c r="V13" s="7" t="s">
        <v>92</v>
      </c>
      <c r="W13" s="8" t="n">
        <f aca="false">IF(AND(ISNUMBER(Q13),ISNUMBER(J13),J13&lt;&gt;0),Q13/J13,"")</f>
        <v>188</v>
      </c>
      <c r="X13" s="8" t="n">
        <f aca="false">IF(ISNUMBER(W13),W13/Assumptions!$B$12,"")</f>
        <v>191.836734693878</v>
      </c>
      <c r="Y13" s="7" t="n">
        <v>55</v>
      </c>
      <c r="Z13" s="8" t="str">
        <f aca="false">IF(ISNUMBER(Y13),IF(Y13&lt;=90,"Yes","No – high temp"),"Unknown")</f>
        <v>Yes</v>
      </c>
      <c r="AA13" s="8" t="n">
        <f aca="false">IF(AND(ISNUMBER(W13),Z13="Yes"),W13/Assumptions!$B$13,"N/A")</f>
        <v>67.1428571428572</v>
      </c>
      <c r="AB13" s="8" t="str">
        <f aca="false">IF(COUNTIFS($A$5:$A$22,A13,$D$5:$D$22,D13,$M$5:$M$22,M13)&gt;1,"Check – possible shared heater","")</f>
        <v/>
      </c>
      <c r="AC13" s="8"/>
    </row>
    <row r="14" customFormat="false" ht="15" hidden="false" customHeight="false" outlineLevel="0" collapsed="false">
      <c r="A14" s="7" t="s">
        <v>91</v>
      </c>
      <c r="B14" s="7" t="s">
        <v>66</v>
      </c>
      <c r="C14" s="7" t="s">
        <v>67</v>
      </c>
      <c r="D14" s="7" t="s">
        <v>68</v>
      </c>
      <c r="E14" s="7" t="n">
        <v>300000</v>
      </c>
      <c r="F14" s="7"/>
      <c r="G14" s="8" t="n">
        <f aca="false">IF(F14&lt;&gt;"",F14,IF(E14&lt;&gt;"",E14*Assumptions!$B$8,""))</f>
        <v>348.9</v>
      </c>
      <c r="H14" s="7" t="s">
        <v>69</v>
      </c>
      <c r="I14" s="8" t="n">
        <f aca="false">IF(H14="50–75%",Assumptions!$B$14,IF(H14="75–100%",Assumptions!$B$15,IF(H14="Variable / Don't know",Assumptions!$B$16,"")))</f>
        <v>0.625</v>
      </c>
      <c r="J14" s="7" t="n">
        <v>24</v>
      </c>
      <c r="K14" s="7" t="n">
        <v>300</v>
      </c>
      <c r="L14" s="7"/>
      <c r="M14" s="7" t="n">
        <v>400</v>
      </c>
      <c r="N14" s="7"/>
      <c r="O14" s="8" t="n">
        <f aca="false">IF(D14="Diesel",L14*Assumptions!$B$5,IF(D14="Pellet",M14*Assumptions!$B$6,IF(D14="Rice Husk",M14*Assumptions!$B$7,IF(D14="Electric",N14,""))))</f>
        <v>1880</v>
      </c>
      <c r="P14" s="8" t="n">
        <f aca="false">IF(D14="Electric",Assumptions!$B$12,IF(D14="Pellet",Assumptions!$B$9,IF(D14="Rice Husk",Assumptions!$B$10,IF(D14="Diesel",Assumptions!$B$11,""))))</f>
        <v>0.8</v>
      </c>
      <c r="Q14" s="8" t="n">
        <f aca="false">IF(AND(ISNUMBER(O14),ISNUMBER(P14)),O14*P14,"")</f>
        <v>1504</v>
      </c>
      <c r="R14" s="8" t="n">
        <f aca="false">IF(AND(ISNUMBER(G14),ISNUMBER(J14),ISNUMBER(I14)),G14*J14*I14,"")</f>
        <v>5233.5</v>
      </c>
      <c r="S14" s="8" t="n">
        <f aca="false">IFERROR(Q14/R14,"")</f>
        <v>0.287379382822203</v>
      </c>
      <c r="T14" s="4" t="str">
        <f aca="false">IF(S14="","insufficient data",IF(OR(S14&gt;1.3,S14&lt;0.05),"CHECK – implausible vs rated capacity","plausible"))</f>
        <v>plausible</v>
      </c>
      <c r="U14" s="8" t="n">
        <f aca="false">IF(AND(ISNUMBER(Q14),ISNUMBER(K14)),Q14*K14,"")</f>
        <v>451200</v>
      </c>
      <c r="V14" s="7" t="s">
        <v>93</v>
      </c>
      <c r="W14" s="8" t="n">
        <f aca="false">IF(AND(ISNUMBER(Q14),ISNUMBER(J14),J14&lt;&gt;0),Q14/J14,"")</f>
        <v>62.6666666666667</v>
      </c>
      <c r="X14" s="8" t="n">
        <f aca="false">IF(ISNUMBER(W14),W14/Assumptions!$B$12,"")</f>
        <v>63.9455782312925</v>
      </c>
      <c r="Y14" s="7"/>
      <c r="Z14" s="8" t="str">
        <f aca="false">IF(ISNUMBER(Y14),IF(Y14&lt;=90,"Yes","No – high temp"),"Unknown")</f>
        <v>Unknown</v>
      </c>
      <c r="AA14" s="8" t="str">
        <f aca="false">IF(AND(ISNUMBER(W14),Z14="Yes"),W14/Assumptions!$B$13,"N/A")</f>
        <v>N/A</v>
      </c>
      <c r="AB14" s="8" t="str">
        <f aca="false">IF(COUNTIFS($A$5:$A$22,A14,$D$5:$D$22,D14,$M$5:$M$22,M14)&gt;1,"Check – possible shared heater","")</f>
        <v/>
      </c>
      <c r="AC14" s="8"/>
    </row>
    <row r="15" customFormat="false" ht="15" hidden="false" customHeight="false" outlineLevel="0" collapsed="false">
      <c r="A15" s="7" t="s">
        <v>91</v>
      </c>
      <c r="B15" s="7" t="s">
        <v>66</v>
      </c>
      <c r="C15" s="7" t="s">
        <v>67</v>
      </c>
      <c r="D15" s="7" t="s">
        <v>71</v>
      </c>
      <c r="E15" s="7"/>
      <c r="F15" s="7" t="n">
        <v>150</v>
      </c>
      <c r="G15" s="8" t="n">
        <f aca="false">IF(F15&lt;&gt;"",F15,IF(E15&lt;&gt;"",E15*Assumptions!$B$8,""))</f>
        <v>150</v>
      </c>
      <c r="H15" s="7" t="s">
        <v>88</v>
      </c>
      <c r="I15" s="8" t="n">
        <f aca="false">IF(H15="50–75%",Assumptions!$B$14,IF(H15="75–100%",Assumptions!$B$15,IF(H15="Variable / Don't know",Assumptions!$B$16,"")))</f>
        <v>0.5</v>
      </c>
      <c r="J15" s="7" t="n">
        <v>12</v>
      </c>
      <c r="K15" s="7" t="n">
        <v>300</v>
      </c>
      <c r="L15" s="7"/>
      <c r="M15" s="7"/>
      <c r="N15" s="7"/>
      <c r="O15" s="8" t="n">
        <f aca="false">IF(D15="Diesel",L15*Assumptions!$B$5,IF(D15="Pellet",M15*Assumptions!$B$6,IF(D15="Rice Husk",M15*Assumptions!$B$7,IF(D15="Electric",N15,""))))</f>
        <v>0</v>
      </c>
      <c r="P15" s="8" t="n">
        <f aca="false">IF(D15="Electric",Assumptions!$B$12,IF(D15="Pellet",Assumptions!$B$9,IF(D15="Rice Husk",Assumptions!$B$10,IF(D15="Diesel",Assumptions!$B$11,""))))</f>
        <v>0.98</v>
      </c>
      <c r="Q15" s="8" t="str">
        <f aca="false">IF(AND(ISNUMBER(O15),ISNUMBER(P15)),O15*P15,"")</f>
        <v/>
      </c>
      <c r="R15" s="8" t="n">
        <f aca="false">IF(AND(ISNUMBER(G15),ISNUMBER(J15),ISNUMBER(I15)),G15*J15*I15,"")</f>
        <v>900</v>
      </c>
      <c r="S15" s="8" t="str">
        <f aca="false">IFERROR(Q15/R15,"")</f>
        <v/>
      </c>
      <c r="T15" s="4" t="str">
        <f aca="false">IF(S15="","insufficient data",IF(OR(S15&gt;1.3,S15&lt;0.05),"CHECK – implausible vs rated capacity","plausible"))</f>
        <v>insufficient data</v>
      </c>
      <c r="U15" s="8" t="str">
        <f aca="false">IF(AND(ISNUMBER(Q15),ISNUMBER(K15)),Q15*K15,"")</f>
        <v/>
      </c>
      <c r="V15" s="7" t="s">
        <v>89</v>
      </c>
      <c r="W15" s="8" t="str">
        <f aca="false">IF(AND(ISNUMBER(Q15),ISNUMBER(J15),J15&lt;&gt;0),Q15/J15,"")</f>
        <v/>
      </c>
      <c r="X15" s="8" t="str">
        <f aca="false">IF(ISNUMBER(W15),W15/Assumptions!$B$12,"")</f>
        <v/>
      </c>
      <c r="Y15" s="7"/>
      <c r="Z15" s="8" t="str">
        <f aca="false">IF(ISNUMBER(Y15),IF(Y15&lt;=90,"Yes","No – high temp"),"Unknown")</f>
        <v>Unknown</v>
      </c>
      <c r="AA15" s="8" t="str">
        <f aca="false">IF(AND(ISNUMBER(W15),Z15="Yes"),W15/Assumptions!$B$13,"N/A")</f>
        <v>N/A</v>
      </c>
      <c r="AB15" s="8" t="str">
        <f aca="false">IF(COUNTIFS($A$5:$A$22,A15,$D$5:$D$22,D15,$M$5:$M$22,M15)&gt;1,"Check – possible shared heater","")</f>
        <v/>
      </c>
      <c r="AC15" s="8"/>
    </row>
    <row r="16" customFormat="false" ht="15" hidden="false" customHeight="false" outlineLevel="0" collapsed="false">
      <c r="A16" s="7" t="s">
        <v>65</v>
      </c>
      <c r="B16" s="7" t="s">
        <v>94</v>
      </c>
      <c r="C16" s="7" t="s">
        <v>67</v>
      </c>
      <c r="D16" s="7" t="s">
        <v>71</v>
      </c>
      <c r="E16" s="7"/>
      <c r="F16" s="7" t="n">
        <v>30</v>
      </c>
      <c r="G16" s="8" t="n">
        <f aca="false">IF(F16&lt;&gt;"",F16,IF(E16&lt;&gt;"",E16*Assumptions!$B$8,""))</f>
        <v>30</v>
      </c>
      <c r="H16" s="7" t="s">
        <v>69</v>
      </c>
      <c r="I16" s="8" t="n">
        <f aca="false">IF(H16="50–75%",Assumptions!$B$14,IF(H16="75–100%",Assumptions!$B$15,IF(H16="Variable / Don't know",Assumptions!$B$16,"")))</f>
        <v>0.625</v>
      </c>
      <c r="J16" s="7" t="n">
        <v>10</v>
      </c>
      <c r="K16" s="7" t="n">
        <v>300</v>
      </c>
      <c r="L16" s="7"/>
      <c r="M16" s="7"/>
      <c r="N16" s="7" t="n">
        <v>15</v>
      </c>
      <c r="O16" s="8" t="n">
        <f aca="false">IF(D16="Diesel",L16*Assumptions!$B$5,IF(D16="Pellet",M16*Assumptions!$B$6,IF(D16="Rice Husk",M16*Assumptions!$B$7,IF(D16="Electric",N16,""))))</f>
        <v>15</v>
      </c>
      <c r="P16" s="8" t="n">
        <f aca="false">IF(D16="Electric",Assumptions!$B$12,IF(D16="Pellet",Assumptions!$B$9,IF(D16="Rice Husk",Assumptions!$B$10,IF(D16="Diesel",Assumptions!$B$11,""))))</f>
        <v>0.98</v>
      </c>
      <c r="Q16" s="8" t="n">
        <f aca="false">IF(AND(ISNUMBER(O16),ISNUMBER(P16)),O16*P16,"")</f>
        <v>14.7</v>
      </c>
      <c r="R16" s="8" t="n">
        <f aca="false">IF(AND(ISNUMBER(G16),ISNUMBER(J16),ISNUMBER(I16)),G16*J16*I16,"")</f>
        <v>187.5</v>
      </c>
      <c r="S16" s="8" t="n">
        <f aca="false">IFERROR(Q16/R16,"")</f>
        <v>0.0784</v>
      </c>
      <c r="T16" s="4" t="str">
        <f aca="false">IF(S16="","insufficient data",IF(OR(S16&gt;1.3,S16&lt;0.05),"CHECK – implausible vs rated capacity","plausible"))</f>
        <v>plausible</v>
      </c>
      <c r="U16" s="8" t="n">
        <f aca="false">IF(AND(ISNUMBER(Q16),ISNUMBER(K16)),Q16*K16,"")</f>
        <v>4410</v>
      </c>
      <c r="V16" s="7" t="s">
        <v>95</v>
      </c>
      <c r="W16" s="8" t="n">
        <f aca="false">IF(AND(ISNUMBER(Q16),ISNUMBER(J16),J16&lt;&gt;0),Q16/J16,"")</f>
        <v>1.47</v>
      </c>
      <c r="X16" s="8" t="n">
        <f aca="false">IF(ISNUMBER(W16),W16/Assumptions!$B$12,"")</f>
        <v>1.5</v>
      </c>
      <c r="Y16" s="7" t="n">
        <v>55</v>
      </c>
      <c r="Z16" s="8" t="str">
        <f aca="false">IF(ISNUMBER(Y16),IF(Y16&lt;=90,"Yes","No – high temp"),"Unknown")</f>
        <v>Yes</v>
      </c>
      <c r="AA16" s="8" t="n">
        <f aca="false">IF(AND(ISNUMBER(W16),Z16="Yes"),W16/Assumptions!$B$13,"N/A")</f>
        <v>0.525</v>
      </c>
      <c r="AB16" s="8" t="str">
        <f aca="false">IF(COUNTIFS($A$5:$A$22,A16,$D$5:$D$22,D16,$M$5:$M$22,M16)&gt;1,"Check – possible shared heater","")</f>
        <v/>
      </c>
      <c r="AC16" s="8"/>
    </row>
    <row r="17" customFormat="false" ht="15" hidden="false" customHeight="false" outlineLevel="0" collapsed="false">
      <c r="A17" s="7" t="s">
        <v>73</v>
      </c>
      <c r="B17" s="7" t="s">
        <v>94</v>
      </c>
      <c r="C17" s="7" t="s">
        <v>83</v>
      </c>
      <c r="D17" s="7" t="s">
        <v>71</v>
      </c>
      <c r="E17" s="7"/>
      <c r="F17" s="7" t="n">
        <v>20</v>
      </c>
      <c r="G17" s="8" t="n">
        <f aca="false">IF(F17&lt;&gt;"",F17,IF(E17&lt;&gt;"",E17*Assumptions!$B$8,""))</f>
        <v>20</v>
      </c>
      <c r="H17" s="7" t="s">
        <v>69</v>
      </c>
      <c r="I17" s="8" t="n">
        <f aca="false">IF(H17="50–75%",Assumptions!$B$14,IF(H17="75–100%",Assumptions!$B$15,IF(H17="Variable / Don't know",Assumptions!$B$16,"")))</f>
        <v>0.625</v>
      </c>
      <c r="J17" s="7" t="n">
        <v>8</v>
      </c>
      <c r="K17" s="7" t="n">
        <v>290</v>
      </c>
      <c r="L17" s="7"/>
      <c r="M17" s="7"/>
      <c r="N17" s="7" t="n">
        <v>15</v>
      </c>
      <c r="O17" s="8" t="n">
        <f aca="false">IF(D17="Diesel",L17*Assumptions!$B$5,IF(D17="Pellet",M17*Assumptions!$B$6,IF(D17="Rice Husk",M17*Assumptions!$B$7,IF(D17="Electric",N17,""))))</f>
        <v>15</v>
      </c>
      <c r="P17" s="8" t="n">
        <f aca="false">IF(D17="Electric",Assumptions!$B$12,IF(D17="Pellet",Assumptions!$B$9,IF(D17="Rice Husk",Assumptions!$B$10,IF(D17="Diesel",Assumptions!$B$11,""))))</f>
        <v>0.98</v>
      </c>
      <c r="Q17" s="8" t="n">
        <f aca="false">IF(AND(ISNUMBER(O17),ISNUMBER(P17)),O17*P17,"")</f>
        <v>14.7</v>
      </c>
      <c r="R17" s="8" t="n">
        <f aca="false">IF(AND(ISNUMBER(G17),ISNUMBER(J17),ISNUMBER(I17)),G17*J17*I17,"")</f>
        <v>100</v>
      </c>
      <c r="S17" s="8" t="n">
        <f aca="false">IFERROR(Q17/R17,"")</f>
        <v>0.147</v>
      </c>
      <c r="T17" s="4" t="str">
        <f aca="false">IF(S17="","insufficient data",IF(OR(S17&gt;1.3,S17&lt;0.05),"CHECK – implausible vs rated capacity","plausible"))</f>
        <v>plausible</v>
      </c>
      <c r="U17" s="8" t="n">
        <f aca="false">IF(AND(ISNUMBER(Q17),ISNUMBER(K17)),Q17*K17,"")</f>
        <v>4263</v>
      </c>
      <c r="V17" s="7" t="s">
        <v>96</v>
      </c>
      <c r="W17" s="8" t="n">
        <f aca="false">IF(AND(ISNUMBER(Q17),ISNUMBER(J17),J17&lt;&gt;0),Q17/J17,"")</f>
        <v>1.8375</v>
      </c>
      <c r="X17" s="8" t="n">
        <f aca="false">IF(ISNUMBER(W17),W17/Assumptions!$B$12,"")</f>
        <v>1.875</v>
      </c>
      <c r="Y17" s="7" t="n">
        <v>50</v>
      </c>
      <c r="Z17" s="8" t="str">
        <f aca="false">IF(ISNUMBER(Y17),IF(Y17&lt;=90,"Yes","No – high temp"),"Unknown")</f>
        <v>Yes</v>
      </c>
      <c r="AA17" s="8" t="n">
        <f aca="false">IF(AND(ISNUMBER(W17),Z17="Yes"),W17/Assumptions!$B$13,"N/A")</f>
        <v>0.65625</v>
      </c>
      <c r="AB17" s="8" t="str">
        <f aca="false">IF(COUNTIFS($A$5:$A$22,A17,$D$5:$D$22,D17,$M$5:$M$22,M17)&gt;1,"Check – possible shared heater","")</f>
        <v/>
      </c>
      <c r="AC17" s="8"/>
    </row>
    <row r="18" customFormat="false" ht="15" hidden="false" customHeight="false" outlineLevel="0" collapsed="false">
      <c r="A18" s="7" t="s">
        <v>77</v>
      </c>
      <c r="B18" s="7" t="s">
        <v>94</v>
      </c>
      <c r="C18" s="7" t="s">
        <v>83</v>
      </c>
      <c r="D18" s="7" t="s">
        <v>71</v>
      </c>
      <c r="E18" s="7"/>
      <c r="F18" s="7" t="n">
        <v>25</v>
      </c>
      <c r="G18" s="8" t="n">
        <f aca="false">IF(F18&lt;&gt;"",F18,IF(E18&lt;&gt;"",E18*Assumptions!$B$8,""))</f>
        <v>25</v>
      </c>
      <c r="H18" s="7" t="s">
        <v>69</v>
      </c>
      <c r="I18" s="8" t="n">
        <f aca="false">IF(H18="50–75%",Assumptions!$B$14,IF(H18="75–100%",Assumptions!$B$15,IF(H18="Variable / Don't know",Assumptions!$B$16,"")))</f>
        <v>0.625</v>
      </c>
      <c r="J18" s="7" t="n">
        <v>8</v>
      </c>
      <c r="K18" s="7" t="n">
        <v>300</v>
      </c>
      <c r="L18" s="7"/>
      <c r="M18" s="7"/>
      <c r="N18" s="7" t="n">
        <v>12</v>
      </c>
      <c r="O18" s="8" t="n">
        <f aca="false">IF(D18="Diesel",L18*Assumptions!$B$5,IF(D18="Pellet",M18*Assumptions!$B$6,IF(D18="Rice Husk",M18*Assumptions!$B$7,IF(D18="Electric",N18,""))))</f>
        <v>12</v>
      </c>
      <c r="P18" s="8" t="n">
        <f aca="false">IF(D18="Electric",Assumptions!$B$12,IF(D18="Pellet",Assumptions!$B$9,IF(D18="Rice Husk",Assumptions!$B$10,IF(D18="Diesel",Assumptions!$B$11,""))))</f>
        <v>0.98</v>
      </c>
      <c r="Q18" s="8" t="n">
        <f aca="false">IF(AND(ISNUMBER(O18),ISNUMBER(P18)),O18*P18,"")</f>
        <v>11.76</v>
      </c>
      <c r="R18" s="8" t="n">
        <f aca="false">IF(AND(ISNUMBER(G18),ISNUMBER(J18),ISNUMBER(I18)),G18*J18*I18,"")</f>
        <v>125</v>
      </c>
      <c r="S18" s="8" t="n">
        <f aca="false">IFERROR(Q18/R18,"")</f>
        <v>0.09408</v>
      </c>
      <c r="T18" s="4" t="str">
        <f aca="false">IF(S18="","insufficient data",IF(OR(S18&gt;1.3,S18&lt;0.05),"CHECK – implausible vs rated capacity","plausible"))</f>
        <v>plausible</v>
      </c>
      <c r="U18" s="8" t="n">
        <f aca="false">IF(AND(ISNUMBER(Q18),ISNUMBER(K18)),Q18*K18,"")</f>
        <v>3528</v>
      </c>
      <c r="V18" s="7" t="s">
        <v>97</v>
      </c>
      <c r="W18" s="8" t="n">
        <f aca="false">IF(AND(ISNUMBER(Q18),ISNUMBER(J18),J18&lt;&gt;0),Q18/J18,"")</f>
        <v>1.47</v>
      </c>
      <c r="X18" s="8" t="n">
        <f aca="false">IF(ISNUMBER(W18),W18/Assumptions!$B$12,"")</f>
        <v>1.5</v>
      </c>
      <c r="Y18" s="7" t="n">
        <v>45</v>
      </c>
      <c r="Z18" s="8" t="str">
        <f aca="false">IF(ISNUMBER(Y18),IF(Y18&lt;=90,"Yes","No – high temp"),"Unknown")</f>
        <v>Yes</v>
      </c>
      <c r="AA18" s="8" t="n">
        <f aca="false">IF(AND(ISNUMBER(W18),Z18="Yes"),W18/Assumptions!$B$13,"N/A")</f>
        <v>0.525</v>
      </c>
      <c r="AB18" s="8" t="str">
        <f aca="false">IF(COUNTIFS($A$5:$A$22,A18,$D$5:$D$22,D18,$M$5:$M$22,M18)&gt;1,"Check – possible shared heater","")</f>
        <v/>
      </c>
      <c r="AC18" s="8"/>
    </row>
    <row r="19" customFormat="false" ht="15" hidden="false" customHeight="false" outlineLevel="0" collapsed="false">
      <c r="A19" s="7" t="s">
        <v>80</v>
      </c>
      <c r="B19" s="7" t="s">
        <v>94</v>
      </c>
      <c r="C19" s="7" t="s">
        <v>83</v>
      </c>
      <c r="D19" s="7" t="s">
        <v>71</v>
      </c>
      <c r="E19" s="7"/>
      <c r="F19" s="7" t="n">
        <v>28</v>
      </c>
      <c r="G19" s="8" t="n">
        <f aca="false">IF(F19&lt;&gt;"",F19,IF(E19&lt;&gt;"",E19*Assumptions!$B$8,""))</f>
        <v>28</v>
      </c>
      <c r="H19" s="7" t="s">
        <v>69</v>
      </c>
      <c r="I19" s="8" t="n">
        <f aca="false">IF(H19="50–75%",Assumptions!$B$14,IF(H19="75–100%",Assumptions!$B$15,IF(H19="Variable / Don't know",Assumptions!$B$16,"")))</f>
        <v>0.625</v>
      </c>
      <c r="J19" s="7" t="n">
        <v>10</v>
      </c>
      <c r="K19" s="7" t="n">
        <v>285</v>
      </c>
      <c r="L19" s="7"/>
      <c r="M19" s="7"/>
      <c r="N19" s="7" t="n">
        <v>1096</v>
      </c>
      <c r="O19" s="8" t="n">
        <f aca="false">IF(D19="Diesel",L19*Assumptions!$B$5,IF(D19="Pellet",M19*Assumptions!$B$6,IF(D19="Rice Husk",M19*Assumptions!$B$7,IF(D19="Electric",N19,""))))</f>
        <v>1096</v>
      </c>
      <c r="P19" s="8" t="n">
        <f aca="false">IF(D19="Electric",Assumptions!$B$12,IF(D19="Pellet",Assumptions!$B$9,IF(D19="Rice Husk",Assumptions!$B$10,IF(D19="Diesel",Assumptions!$B$11,""))))</f>
        <v>0.98</v>
      </c>
      <c r="Q19" s="8" t="n">
        <f aca="false">IF(AND(ISNUMBER(O19),ISNUMBER(P19)),O19*P19,"")</f>
        <v>1074.08</v>
      </c>
      <c r="R19" s="8" t="n">
        <f aca="false">IF(AND(ISNUMBER(G19),ISNUMBER(J19),ISNUMBER(I19)),G19*J19*I19,"")</f>
        <v>175</v>
      </c>
      <c r="S19" s="8" t="n">
        <f aca="false">IFERROR(Q19/R19,"")</f>
        <v>6.1376</v>
      </c>
      <c r="T19" s="4" t="str">
        <f aca="false">IF(S19="","insufficient data",IF(OR(S19&gt;1.3,S19&lt;0.05),"CHECK – implausible vs rated capacity","plausible"))</f>
        <v>CHECK – implausible vs rated capacity</v>
      </c>
      <c r="U19" s="8" t="n">
        <f aca="false">IF(AND(ISNUMBER(Q19),ISNUMBER(K19)),Q19*K19,"")</f>
        <v>306112.8</v>
      </c>
      <c r="V19" s="7" t="s">
        <v>98</v>
      </c>
      <c r="W19" s="8" t="n">
        <f aca="false">IF(AND(ISNUMBER(Q19),ISNUMBER(J19),J19&lt;&gt;0),Q19/J19,"")</f>
        <v>107.408</v>
      </c>
      <c r="X19" s="8" t="n">
        <f aca="false">IF(ISNUMBER(W19),W19/Assumptions!$B$12,"")</f>
        <v>109.6</v>
      </c>
      <c r="Y19" s="7" t="n">
        <v>48</v>
      </c>
      <c r="Z19" s="8" t="str">
        <f aca="false">IF(ISNUMBER(Y19),IF(Y19&lt;=90,"Yes","No – high temp"),"Unknown")</f>
        <v>Yes</v>
      </c>
      <c r="AA19" s="8" t="n">
        <f aca="false">IF(AND(ISNUMBER(W19),Z19="Yes"),W19/Assumptions!$B$13,"N/A")</f>
        <v>38.36</v>
      </c>
      <c r="AB19" s="8" t="str">
        <f aca="false">IF(COUNTIFS($A$5:$A$22,A19,$D$5:$D$22,D19,$M$5:$M$22,M19)&gt;1,"Check – possible shared heater","")</f>
        <v/>
      </c>
      <c r="AC19" s="8" t="s">
        <v>99</v>
      </c>
    </row>
    <row r="20" customFormat="false" ht="15" hidden="false" customHeight="false" outlineLevel="0" collapsed="false">
      <c r="A20" s="7" t="s">
        <v>82</v>
      </c>
      <c r="B20" s="7" t="s">
        <v>94</v>
      </c>
      <c r="C20" s="7" t="s">
        <v>83</v>
      </c>
      <c r="D20" s="7" t="s">
        <v>84</v>
      </c>
      <c r="E20" s="7" t="n">
        <v>1000000</v>
      </c>
      <c r="F20" s="7"/>
      <c r="G20" s="8" t="n">
        <f aca="false">IF(F20&lt;&gt;"",F20,IF(E20&lt;&gt;"",E20*Assumptions!$B$8,""))</f>
        <v>1163</v>
      </c>
      <c r="H20" s="7" t="s">
        <v>69</v>
      </c>
      <c r="I20" s="8" t="n">
        <f aca="false">IF(H20="50–75%",Assumptions!$B$14,IF(H20="75–100%",Assumptions!$B$15,IF(H20="Variable / Don't know",Assumptions!$B$16,"")))</f>
        <v>0.625</v>
      </c>
      <c r="J20" s="7" t="n">
        <v>24</v>
      </c>
      <c r="K20" s="7" t="n">
        <v>300</v>
      </c>
      <c r="L20" s="7"/>
      <c r="M20" s="7" t="n">
        <v>3000</v>
      </c>
      <c r="N20" s="7"/>
      <c r="O20" s="8" t="n">
        <f aca="false">IF(D20="Diesel",L20*Assumptions!$B$5,IF(D20="Pellet",M20*Assumptions!$B$6,IF(D20="Rice Husk",M20*Assumptions!$B$7,IF(D20="Electric",N20,""))))</f>
        <v>11250</v>
      </c>
      <c r="P20" s="8" t="n">
        <f aca="false">IF(D20="Electric",Assumptions!$B$12,IF(D20="Pellet",Assumptions!$B$9,IF(D20="Rice Husk",Assumptions!$B$10,IF(D20="Diesel",Assumptions!$B$11,""))))</f>
        <v>0.7</v>
      </c>
      <c r="Q20" s="8" t="n">
        <f aca="false">IF(AND(ISNUMBER(O20),ISNUMBER(P20)),O20*P20,"")</f>
        <v>7875</v>
      </c>
      <c r="R20" s="8" t="n">
        <f aca="false">IF(AND(ISNUMBER(G20),ISNUMBER(J20),ISNUMBER(I20)),G20*J20*I20,"")</f>
        <v>17445</v>
      </c>
      <c r="S20" s="8" t="n">
        <f aca="false">IFERROR(Q20/R20,"")</f>
        <v>0.451418744625967</v>
      </c>
      <c r="T20" s="4" t="str">
        <f aca="false">IF(S20="","insufficient data",IF(OR(S20&gt;1.3,S20&lt;0.05),"CHECK – implausible vs rated capacity","plausible"))</f>
        <v>plausible</v>
      </c>
      <c r="U20" s="8" t="n">
        <f aca="false">IF(AND(ISNUMBER(Q20),ISNUMBER(K20)),Q20*K20,"")</f>
        <v>2362500</v>
      </c>
      <c r="V20" s="7" t="s">
        <v>85</v>
      </c>
      <c r="W20" s="8" t="n">
        <f aca="false">IF(AND(ISNUMBER(Q20),ISNUMBER(J20),J20&lt;&gt;0),Q20/J20,"")</f>
        <v>328.125</v>
      </c>
      <c r="X20" s="8" t="n">
        <f aca="false">IF(ISNUMBER(W20),W20/Assumptions!$B$12,"")</f>
        <v>334.821428571429</v>
      </c>
      <c r="Y20" s="7"/>
      <c r="Z20" s="8" t="str">
        <f aca="false">IF(ISNUMBER(Y20),IF(Y20&lt;=90,"Yes","No – high temp"),"Unknown")</f>
        <v>Unknown</v>
      </c>
      <c r="AA20" s="8" t="str">
        <f aca="false">IF(AND(ISNUMBER(W20),Z20="Yes"),W20/Assumptions!$B$13,"N/A")</f>
        <v>N/A</v>
      </c>
      <c r="AB20" s="8" t="str">
        <f aca="false">IF(COUNTIFS($A$5:$A$22,A20,$D$5:$D$22,D20,$M$5:$M$22,M20)&gt;1,"Check – possible shared heater","")</f>
        <v>Check – possible shared heater</v>
      </c>
      <c r="AC20" s="8" t="s">
        <v>86</v>
      </c>
    </row>
    <row r="21" customFormat="false" ht="15" hidden="false" customHeight="false" outlineLevel="0" collapsed="false">
      <c r="A21" s="7" t="s">
        <v>87</v>
      </c>
      <c r="B21" s="7" t="s">
        <v>94</v>
      </c>
      <c r="C21" s="7" t="s">
        <v>83</v>
      </c>
      <c r="D21" s="7" t="s">
        <v>71</v>
      </c>
      <c r="E21" s="7"/>
      <c r="F21" s="7"/>
      <c r="G21" s="8" t="str">
        <f aca="false">IF(F21&lt;&gt;"",F21,IF(E21&lt;&gt;"",E21*Assumptions!$B$8,""))</f>
        <v/>
      </c>
      <c r="H21" s="7" t="s">
        <v>88</v>
      </c>
      <c r="I21" s="8" t="n">
        <f aca="false">IF(H21="50–75%",Assumptions!$B$14,IF(H21="75–100%",Assumptions!$B$15,IF(H21="Variable / Don't know",Assumptions!$B$16,"")))</f>
        <v>0.5</v>
      </c>
      <c r="J21" s="7" t="n">
        <v>12</v>
      </c>
      <c r="K21" s="7"/>
      <c r="L21" s="7"/>
      <c r="M21" s="7"/>
      <c r="N21" s="7" t="n">
        <v>1200</v>
      </c>
      <c r="O21" s="8" t="n">
        <f aca="false">IF(D21="Diesel",L21*Assumptions!$B$5,IF(D21="Pellet",M21*Assumptions!$B$6,IF(D21="Rice Husk",M21*Assumptions!$B$7,IF(D21="Electric",N21,""))))</f>
        <v>1200</v>
      </c>
      <c r="P21" s="8" t="n">
        <f aca="false">IF(D21="Electric",Assumptions!$B$12,IF(D21="Pellet",Assumptions!$B$9,IF(D21="Rice Husk",Assumptions!$B$10,IF(D21="Diesel",Assumptions!$B$11,""))))</f>
        <v>0.98</v>
      </c>
      <c r="Q21" s="8" t="n">
        <f aca="false">IF(AND(ISNUMBER(O21),ISNUMBER(P21)),O21*P21,"")</f>
        <v>1176</v>
      </c>
      <c r="R21" s="8" t="str">
        <f aca="false">IF(AND(ISNUMBER(G21),ISNUMBER(J21),ISNUMBER(I21)),G21*J21*I21,"")</f>
        <v/>
      </c>
      <c r="S21" s="8" t="str">
        <f aca="false">IFERROR(Q21/R21,"")</f>
        <v/>
      </c>
      <c r="T21" s="4" t="str">
        <f aca="false">IF(S21="","insufficient data",IF(OR(S21&gt;1.3,S21&lt;0.05),"CHECK – implausible vs rated capacity","plausible"))</f>
        <v>insufficient data</v>
      </c>
      <c r="U21" s="8" t="str">
        <f aca="false">IF(AND(ISNUMBER(Q21),ISNUMBER(K21)),Q21*K21,"")</f>
        <v/>
      </c>
      <c r="V21" s="7" t="s">
        <v>89</v>
      </c>
      <c r="W21" s="8" t="n">
        <f aca="false">IF(AND(ISNUMBER(Q21),ISNUMBER(J21),J21&lt;&gt;0),Q21/J21,"")</f>
        <v>98</v>
      </c>
      <c r="X21" s="8" t="n">
        <f aca="false">IF(ISNUMBER(W21),W21/Assumptions!$B$12,"")</f>
        <v>100</v>
      </c>
      <c r="Y21" s="7"/>
      <c r="Z21" s="8" t="str">
        <f aca="false">IF(ISNUMBER(Y21),IF(Y21&lt;=90,"Yes","No – high temp"),"Unknown")</f>
        <v>Unknown</v>
      </c>
      <c r="AA21" s="8" t="str">
        <f aca="false">IF(AND(ISNUMBER(W21),Z21="Yes"),W21/Assumptions!$B$13,"N/A")</f>
        <v>N/A</v>
      </c>
      <c r="AB21" s="8" t="str">
        <f aca="false">IF(COUNTIFS($A$5:$A$22,A21,$D$5:$D$22,D21,$M$5:$M$22,M21)&gt;1,"Check – possible shared heater","")</f>
        <v/>
      </c>
      <c r="AC21" s="8" t="s">
        <v>90</v>
      </c>
    </row>
    <row r="22" customFormat="false" ht="15" hidden="false" customHeight="false" outlineLevel="0" collapsed="false">
      <c r="A22" s="7" t="s">
        <v>91</v>
      </c>
      <c r="B22" s="7" t="s">
        <v>94</v>
      </c>
      <c r="C22" s="7" t="s">
        <v>67</v>
      </c>
      <c r="D22" s="7" t="s">
        <v>68</v>
      </c>
      <c r="E22" s="7" t="n">
        <v>100000</v>
      </c>
      <c r="F22" s="7"/>
      <c r="G22" s="8" t="n">
        <f aca="false">IF(F22&lt;&gt;"",F22,IF(E22&lt;&gt;"",E22*Assumptions!$B$8,""))</f>
        <v>116.3</v>
      </c>
      <c r="H22" s="7"/>
      <c r="I22" s="8" t="str">
        <f aca="false">IF(H22="50–75%",Assumptions!$B$14,IF(H22="75–100%",Assumptions!$B$15,IF(H22="Variable / Don't know",Assumptions!$B$16,"")))</f>
        <v/>
      </c>
      <c r="J22" s="7" t="n">
        <v>12</v>
      </c>
      <c r="K22" s="7" t="n">
        <v>300</v>
      </c>
      <c r="L22" s="7"/>
      <c r="M22" s="7" t="n">
        <v>150</v>
      </c>
      <c r="N22" s="7"/>
      <c r="O22" s="8" t="n">
        <f aca="false">IF(D22="Diesel",L22*Assumptions!$B$5,IF(D22="Pellet",M22*Assumptions!$B$6,IF(D22="Rice Husk",M22*Assumptions!$B$7,IF(D22="Electric",N22,""))))</f>
        <v>705</v>
      </c>
      <c r="P22" s="8" t="n">
        <f aca="false">IF(D22="Electric",Assumptions!$B$12,IF(D22="Pellet",Assumptions!$B$9,IF(D22="Rice Husk",Assumptions!$B$10,IF(D22="Diesel",Assumptions!$B$11,""))))</f>
        <v>0.8</v>
      </c>
      <c r="Q22" s="8" t="n">
        <f aca="false">IF(AND(ISNUMBER(O22),ISNUMBER(P22)),O22*P22,"")</f>
        <v>564</v>
      </c>
      <c r="R22" s="8" t="str">
        <f aca="false">IF(AND(ISNUMBER(G22),ISNUMBER(J22),ISNUMBER(I22)),G22*J22*I22,"")</f>
        <v/>
      </c>
      <c r="S22" s="8" t="str">
        <f aca="false">IFERROR(Q22/R22,"")</f>
        <v/>
      </c>
      <c r="T22" s="4" t="str">
        <f aca="false">IF(S22="","insufficient data",IF(OR(S22&gt;1.3,S22&lt;0.05),"CHECK – implausible vs rated capacity","plausible"))</f>
        <v>insufficient data</v>
      </c>
      <c r="U22" s="8" t="n">
        <f aca="false">IF(AND(ISNUMBER(Q22),ISNUMBER(K22)),Q22*K22,"")</f>
        <v>169200</v>
      </c>
      <c r="V22" s="7" t="s">
        <v>100</v>
      </c>
      <c r="W22" s="8" t="n">
        <f aca="false">IF(AND(ISNUMBER(Q22),ISNUMBER(J22),J22&lt;&gt;0),Q22/J22,"")</f>
        <v>47</v>
      </c>
      <c r="X22" s="8" t="n">
        <f aca="false">IF(ISNUMBER(W22),W22/Assumptions!$B$12,"")</f>
        <v>47.9591836734694</v>
      </c>
      <c r="Y22" s="7" t="n">
        <v>55</v>
      </c>
      <c r="Z22" s="8" t="str">
        <f aca="false">IF(ISNUMBER(Y22),IF(Y22&lt;=90,"Yes","No – high temp"),"Unknown")</f>
        <v>Yes</v>
      </c>
      <c r="AA22" s="8" t="n">
        <f aca="false">IF(AND(ISNUMBER(W22),Z22="Yes"),W22/Assumptions!$B$13,"N/A")</f>
        <v>16.7857142857143</v>
      </c>
      <c r="AB22" s="8" t="str">
        <f aca="false">IF(COUNTIFS($A$5:$A$22,A22,$D$5:$D$22,D22,$M$5:$M$22,M22)&gt;1,"Check – possible shared heater","")</f>
        <v/>
      </c>
      <c r="AC22" s="8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  <c r="B2" s="2"/>
      <c r="C2" s="2"/>
      <c r="D2" s="2"/>
      <c r="E2" s="2"/>
      <c r="F2" s="2"/>
      <c r="G2" s="2"/>
      <c r="H2" s="2"/>
    </row>
    <row r="4" customFormat="false" ht="35.05" hidden="false" customHeight="false" outlineLevel="0" collapsed="false">
      <c r="A4" s="3" t="s">
        <v>36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109</v>
      </c>
      <c r="I4" s="3" t="s">
        <v>110</v>
      </c>
      <c r="J4" s="3" t="s">
        <v>111</v>
      </c>
      <c r="K4" s="3" t="s">
        <v>112</v>
      </c>
    </row>
    <row r="5" customFormat="false" ht="31.5" hidden="false" customHeight="true" outlineLevel="0" collapsed="false">
      <c r="A5" s="7" t="s">
        <v>65</v>
      </c>
      <c r="B5" s="8" t="n">
        <f aca="false">SUMIFS(Cleaned_Units!$G$5:$G$22,Cleaned_Units!$A$5:$A$22,A5)</f>
        <v>173.15</v>
      </c>
      <c r="C5" s="8" t="n">
        <f aca="false">SUMIFS(Cleaned_Units!$U$5:$U$22,Cleaned_Units!$A$5:$A$22,A5)</f>
        <v>79440</v>
      </c>
      <c r="D5" s="8" t="n">
        <f aca="false">SUMIFS(Cleaned_Units!$X$5:$X$22,Cleaned_Units!$A$5:$A$22,A5)</f>
        <v>27.0204081632653</v>
      </c>
      <c r="E5" s="7" t="n">
        <v>350</v>
      </c>
      <c r="F5" s="7" t="n">
        <v>300</v>
      </c>
      <c r="G5" s="8" t="n">
        <f aca="false">IFERROR(E5-F5,"")</f>
        <v>50</v>
      </c>
      <c r="H5" s="8" t="str">
        <f aca="false">IF(G5="","insufficient data",IF(D5&lt;=G5,"Likely fits existing headroom","Likely needs capacity upgrade"))</f>
        <v>Likely fits existing headroom</v>
      </c>
      <c r="I5" s="7" t="s">
        <v>113</v>
      </c>
      <c r="J5" s="7" t="s">
        <v>114</v>
      </c>
      <c r="K5" s="9"/>
    </row>
    <row r="6" customFormat="false" ht="31.5" hidden="false" customHeight="true" outlineLevel="0" collapsed="false">
      <c r="A6" s="7" t="s">
        <v>73</v>
      </c>
      <c r="B6" s="8" t="n">
        <f aca="false">SUMIFS(Cleaned_Units!$G$5:$G$22,Cleaned_Units!$A$5:$A$22,A6)</f>
        <v>168.15</v>
      </c>
      <c r="C6" s="8" t="n">
        <f aca="false">SUMIFS(Cleaned_Units!$U$5:$U$22,Cleaned_Units!$A$5:$A$22,A6)</f>
        <v>36569</v>
      </c>
      <c r="D6" s="8" t="n">
        <f aca="false">SUMIFS(Cleaned_Units!$X$5:$X$22,Cleaned_Units!$A$5:$A$22,A6)</f>
        <v>13.2423469387755</v>
      </c>
      <c r="E6" s="7" t="n">
        <v>500</v>
      </c>
      <c r="F6" s="7" t="n">
        <v>400</v>
      </c>
      <c r="G6" s="8" t="n">
        <f aca="false">IFERROR(E6-F6,"")</f>
        <v>100</v>
      </c>
      <c r="H6" s="8" t="str">
        <f aca="false">IF(G6="","insufficient data",IF(D6&lt;=G6,"Likely fits existing headroom","Likely needs capacity upgrade"))</f>
        <v>Likely fits existing headroom</v>
      </c>
      <c r="I6" s="7" t="s">
        <v>113</v>
      </c>
      <c r="J6" s="7" t="s">
        <v>114</v>
      </c>
      <c r="K6" s="9"/>
    </row>
    <row r="7" customFormat="false" ht="31.5" hidden="false" customHeight="true" outlineLevel="0" collapsed="false">
      <c r="A7" s="7" t="s">
        <v>77</v>
      </c>
      <c r="B7" s="8" t="n">
        <f aca="false">SUMIFS(Cleaned_Units!$G$5:$G$22,Cleaned_Units!$A$5:$A$22,A7)</f>
        <v>105</v>
      </c>
      <c r="C7" s="8" t="n">
        <f aca="false">SUMIFS(Cleaned_Units!$U$5:$U$22,Cleaned_Units!$A$5:$A$22,A7)</f>
        <v>11760</v>
      </c>
      <c r="D7" s="8" t="n">
        <f aca="false">SUMIFS(Cleaned_Units!$X$5:$X$22,Cleaned_Units!$A$5:$A$22,A7)</f>
        <v>4.3</v>
      </c>
      <c r="E7" s="7" t="n">
        <v>500</v>
      </c>
      <c r="F7" s="7" t="n">
        <v>250</v>
      </c>
      <c r="G7" s="8" t="n">
        <f aca="false">IFERROR(E7-F7,"")</f>
        <v>250</v>
      </c>
      <c r="H7" s="8" t="str">
        <f aca="false">IF(G7="","insufficient data",IF(D7&lt;=G7,"Likely fits existing headroom","Likely needs capacity upgrade"))</f>
        <v>Likely fits existing headroom</v>
      </c>
      <c r="I7" s="7" t="s">
        <v>113</v>
      </c>
      <c r="J7" s="7" t="s">
        <v>114</v>
      </c>
      <c r="K7" s="9"/>
    </row>
    <row r="8" customFormat="false" ht="31.5" hidden="false" customHeight="true" outlineLevel="0" collapsed="false">
      <c r="A8" s="7" t="s">
        <v>80</v>
      </c>
      <c r="B8" s="8" t="n">
        <f aca="false">SUMIFS(Cleaned_Units!$G$5:$G$22,Cleaned_Units!$A$5:$A$22,A8)</f>
        <v>118</v>
      </c>
      <c r="C8" s="8" t="n">
        <f aca="false">SUMIFS(Cleaned_Units!$U$5:$U$22,Cleaned_Units!$A$5:$A$22,A8)</f>
        <v>316726.2</v>
      </c>
      <c r="D8" s="8" t="n">
        <f aca="false">SUMIFS(Cleaned_Units!$X$5:$X$22,Cleaned_Units!$A$5:$A$22,A8)</f>
        <v>113.4</v>
      </c>
      <c r="E8" s="7" t="n">
        <v>200</v>
      </c>
      <c r="F8" s="7" t="n">
        <v>180</v>
      </c>
      <c r="G8" s="8" t="n">
        <f aca="false">IFERROR(E8-F8,"")</f>
        <v>20</v>
      </c>
      <c r="H8" s="8" t="str">
        <f aca="false">IF(G8="","insufficient data",IF(D8&lt;=G8,"Likely fits existing headroom","Likely needs capacity upgrade"))</f>
        <v>Likely needs capacity upgrade</v>
      </c>
      <c r="I8" s="7" t="s">
        <v>115</v>
      </c>
      <c r="J8" s="7" t="s">
        <v>114</v>
      </c>
      <c r="K8" s="9" t="s">
        <v>116</v>
      </c>
    </row>
    <row r="9" customFormat="false" ht="31.5" hidden="false" customHeight="true" outlineLevel="0" collapsed="false">
      <c r="A9" s="7" t="s">
        <v>82</v>
      </c>
      <c r="B9" s="8" t="n">
        <f aca="false">SUMIFS(Cleaned_Units!$G$5:$G$22,Cleaned_Units!$A$5:$A$22,A9)</f>
        <v>2326</v>
      </c>
      <c r="C9" s="8" t="n">
        <f aca="false">SUMIFS(Cleaned_Units!$U$5:$U$22,Cleaned_Units!$A$5:$A$22,A9)</f>
        <v>4725000</v>
      </c>
      <c r="D9" s="8" t="n">
        <f aca="false">SUMIFS(Cleaned_Units!$X$5:$X$22,Cleaned_Units!$A$5:$A$22,A9)</f>
        <v>669.642857142857</v>
      </c>
      <c r="E9" s="7"/>
      <c r="F9" s="7"/>
      <c r="G9" s="8" t="n">
        <f aca="false">IFERROR(E9-F9,"")</f>
        <v>0</v>
      </c>
      <c r="H9" s="8" t="str">
        <f aca="false">IF(G9="","insufficient data",IF(D9&lt;=G9,"Likely fits existing headroom","Likely needs capacity upgrade"))</f>
        <v>Likely needs capacity upgrade</v>
      </c>
      <c r="I9" s="7" t="s">
        <v>115</v>
      </c>
      <c r="J9" s="7" t="s">
        <v>117</v>
      </c>
      <c r="K9" s="9" t="s">
        <v>118</v>
      </c>
    </row>
    <row r="10" customFormat="false" ht="31.5" hidden="false" customHeight="true" outlineLevel="0" collapsed="false">
      <c r="A10" s="7" t="s">
        <v>87</v>
      </c>
      <c r="B10" s="8" t="n">
        <f aca="false">SUMIFS(Cleaned_Units!$G$5:$G$22,Cleaned_Units!$A$5:$A$22,A10)</f>
        <v>144</v>
      </c>
      <c r="C10" s="8" t="n">
        <f aca="false">SUMIFS(Cleaned_Units!$U$5:$U$22,Cleaned_Units!$A$5:$A$22,A10)</f>
        <v>0</v>
      </c>
      <c r="D10" s="8" t="n">
        <f aca="false">SUMIFS(Cleaned_Units!$X$5:$X$22,Cleaned_Units!$A$5:$A$22,A10)</f>
        <v>100</v>
      </c>
      <c r="E10" s="7" t="n">
        <v>250</v>
      </c>
      <c r="F10" s="7" t="n">
        <v>200</v>
      </c>
      <c r="G10" s="8" t="n">
        <f aca="false">IFERROR(E10-F10,"")</f>
        <v>50</v>
      </c>
      <c r="H10" s="8" t="str">
        <f aca="false">IF(G10="","insufficient data",IF(D10&lt;=G10,"Likely fits existing headroom","Likely needs capacity upgrade"))</f>
        <v>Likely needs capacity upgrade</v>
      </c>
      <c r="I10" s="7" t="s">
        <v>113</v>
      </c>
      <c r="J10" s="7" t="s">
        <v>117</v>
      </c>
      <c r="K10" s="9" t="s">
        <v>119</v>
      </c>
    </row>
    <row r="11" customFormat="false" ht="31.5" hidden="false" customHeight="true" outlineLevel="0" collapsed="false">
      <c r="A11" s="7" t="s">
        <v>91</v>
      </c>
      <c r="B11" s="8" t="n">
        <f aca="false">SUMIFS(Cleaned_Units!$G$5:$G$22,Cleaned_Units!$A$5:$A$22,A11)</f>
        <v>1313</v>
      </c>
      <c r="C11" s="8" t="n">
        <f aca="false">SUMIFS(Cleaned_Units!$U$5:$U$22,Cleaned_Units!$A$5:$A$22,A11)</f>
        <v>1974000</v>
      </c>
      <c r="D11" s="8" t="n">
        <f aca="false">SUMIFS(Cleaned_Units!$X$5:$X$22,Cleaned_Units!$A$5:$A$22,A11)</f>
        <v>303.741496598639</v>
      </c>
      <c r="E11" s="7" t="n">
        <v>1000</v>
      </c>
      <c r="F11" s="7" t="n">
        <v>860</v>
      </c>
      <c r="G11" s="8" t="n">
        <f aca="false">IFERROR(E11-F11,"")</f>
        <v>140</v>
      </c>
      <c r="H11" s="8" t="str">
        <f aca="false">IF(G11="","insufficient data",IF(D11&lt;=G11,"Likely fits existing headroom","Likely needs capacity upgrade"))</f>
        <v>Likely needs capacity upgrade</v>
      </c>
      <c r="I11" s="7" t="s">
        <v>113</v>
      </c>
      <c r="J11" s="7" t="s">
        <v>117</v>
      </c>
      <c r="K11" s="9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4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customFormat="false" ht="60" hidden="false" customHeight="true" outlineLevel="0" collapsed="false">
      <c r="A4" s="10" t="n">
        <v>1</v>
      </c>
      <c r="B4" s="10" t="s">
        <v>82</v>
      </c>
      <c r="C4" s="10" t="s">
        <v>126</v>
      </c>
      <c r="D4" s="10" t="s">
        <v>127</v>
      </c>
      <c r="E4" s="10" t="s">
        <v>128</v>
      </c>
    </row>
    <row r="5" customFormat="false" ht="60" hidden="false" customHeight="true" outlineLevel="0" collapsed="false">
      <c r="A5" s="10" t="n">
        <v>2</v>
      </c>
      <c r="B5" s="10" t="s">
        <v>129</v>
      </c>
      <c r="C5" s="10" t="s">
        <v>130</v>
      </c>
      <c r="D5" s="10" t="s">
        <v>131</v>
      </c>
      <c r="E5" s="10" t="s">
        <v>132</v>
      </c>
    </row>
    <row r="6" customFormat="false" ht="60" hidden="false" customHeight="true" outlineLevel="0" collapsed="false">
      <c r="A6" s="10" t="n">
        <v>3</v>
      </c>
      <c r="B6" s="10" t="s">
        <v>87</v>
      </c>
      <c r="C6" s="10" t="s">
        <v>133</v>
      </c>
      <c r="D6" s="10" t="s">
        <v>134</v>
      </c>
      <c r="E6" s="10" t="s">
        <v>135</v>
      </c>
    </row>
    <row r="7" customFormat="false" ht="60" hidden="false" customHeight="true" outlineLevel="0" collapsed="false">
      <c r="A7" s="10" t="n">
        <v>4</v>
      </c>
      <c r="B7" s="10" t="s">
        <v>136</v>
      </c>
      <c r="C7" s="10" t="s">
        <v>137</v>
      </c>
      <c r="D7" s="10" t="s">
        <v>138</v>
      </c>
      <c r="E7" s="10" t="s">
        <v>139</v>
      </c>
    </row>
    <row r="8" customFormat="false" ht="60" hidden="false" customHeight="true" outlineLevel="0" collapsed="false">
      <c r="A8" s="10" t="n">
        <v>5</v>
      </c>
      <c r="B8" s="10" t="s">
        <v>140</v>
      </c>
      <c r="C8" s="10" t="s">
        <v>141</v>
      </c>
      <c r="D8" s="10" t="s">
        <v>142</v>
      </c>
      <c r="E8" s="10" t="s">
        <v>143</v>
      </c>
    </row>
    <row r="9" customFormat="false" ht="60" hidden="false" customHeight="true" outlineLevel="0" collapsed="false">
      <c r="A9" s="10" t="n">
        <v>6</v>
      </c>
      <c r="B9" s="10" t="s">
        <v>144</v>
      </c>
      <c r="C9" s="10" t="s">
        <v>145</v>
      </c>
      <c r="D9" s="10" t="s">
        <v>146</v>
      </c>
      <c r="E9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2026-09-14T05:04:27Z</dcterms:created>
  <dc:creator>openpyxl</dc:creator>
  <dc:description/>
  <dc:language>en-US</dc:language>
  <cp:lastModifiedBy/>
  <dcterms:modified xsi:type="dcterms:W3CDTF">2026-09-14T05:04:27Z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