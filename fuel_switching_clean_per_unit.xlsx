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lastic\"/>
    </mc:Choice>
  </mc:AlternateContent>
  <bookViews>
    <workbookView xWindow="0" yWindow="0" windowWidth="23040" windowHeight="9264" activeTab="1"/>
  </bookViews>
  <sheets>
    <sheet name="clean_per_unit" sheetId="1" r:id="rId1"/>
    <sheet name="anomalies" sheetId="2" r:id="rId2"/>
    <sheet name="conversion_factors" sheetId="3" r:id="rId3"/>
  </sheets>
  <calcPr calcId="0"/>
</workbook>
</file>

<file path=xl/sharedStrings.xml><?xml version="1.0" encoding="utf-8"?>
<sst xmlns="http://schemas.openxmlformats.org/spreadsheetml/2006/main" count="383" uniqueCount="128">
  <si>
    <t>submission_id</t>
  </si>
  <si>
    <t>company_name</t>
  </si>
  <si>
    <t>location</t>
  </si>
  <si>
    <t>sector</t>
  </si>
  <si>
    <t>unit_index</t>
  </si>
  <si>
    <t>unit_id</t>
  </si>
  <si>
    <t>heating_arrangement</t>
  </si>
  <si>
    <t>fuel_source</t>
  </si>
  <si>
    <t>capacity_kcal_hr_reported</t>
  </si>
  <si>
    <t>capacity_kW_reported</t>
  </si>
  <si>
    <t>rated_capacity_kW_th_equivalent</t>
  </si>
  <si>
    <t>capacity_source</t>
  </si>
  <si>
    <t>typical_load_text</t>
  </si>
  <si>
    <t>typical_load_fraction_midpoint</t>
  </si>
  <si>
    <t>running_hours_day</t>
  </si>
  <si>
    <t>fuel_l_day_reported</t>
  </si>
  <si>
    <t>fuel_kg_day_reported</t>
  </si>
  <si>
    <t>electricity_kWh_day_reported</t>
  </si>
  <si>
    <t>daily_input_energy_kWh_equivalent</t>
  </si>
  <si>
    <t>daily_input_energy_MJ</t>
  </si>
  <si>
    <t>annual_input_energy_kWh_equivalent</t>
  </si>
  <si>
    <t>conversion_basis</t>
  </si>
  <si>
    <t>max_daily_energy_from_rated_capacity_kWh</t>
  </si>
  <si>
    <t>estimated_daily_output_at_typical_load_kWh</t>
  </si>
  <si>
    <t>implied_average_input_power_kW</t>
  </si>
  <si>
    <t>energy_implied_capacity_utilization</t>
  </si>
  <si>
    <t>required_process_temperature_C</t>
  </si>
  <si>
    <t>existing_transformer_kVA</t>
  </si>
  <si>
    <t>max_demand_last_year</t>
  </si>
  <si>
    <t>spare_electrical_capacity</t>
  </si>
  <si>
    <t>daily_production_reported</t>
  </si>
  <si>
    <t>company_operating_hours_day</t>
  </si>
  <si>
    <t>annual_operating_days</t>
  </si>
  <si>
    <t>printing_unit_count_reported</t>
  </si>
  <si>
    <t>laminating_unit_count_reported</t>
  </si>
  <si>
    <t>grid_supply_reliability</t>
  </si>
  <si>
    <t>space_for_alternative_heating</t>
  </si>
  <si>
    <t>switch_intention</t>
  </si>
  <si>
    <t>anomaly_flag</t>
  </si>
  <si>
    <t>anomaly_count</t>
  </si>
  <si>
    <t>Chandika Print Pack</t>
  </si>
  <si>
    <t>Shreekhandapur, Dhulikhel</t>
  </si>
  <si>
    <t>Printing</t>
  </si>
  <si>
    <t>1</t>
  </si>
  <si>
    <t>Printing-850210461-1</t>
  </si>
  <si>
    <t>Hot air generator</t>
  </si>
  <si>
    <t>Pellet</t>
  </si>
  <si>
    <t>converted kcal/hr</t>
  </si>
  <si>
    <t>50–75%</t>
  </si>
  <si>
    <t>16.0 MJ/kg</t>
  </si>
  <si>
    <t>Yes</t>
  </si>
  <si>
    <t>Reliable</t>
  </si>
  <si>
    <t>OK</t>
  </si>
  <si>
    <t>2</t>
  </si>
  <si>
    <t>Printing-850210461-2</t>
  </si>
  <si>
    <t>Electric</t>
  </si>
  <si>
    <t>reported kW</t>
  </si>
  <si>
    <t>1 kWh_e = 3.6 MJ</t>
  </si>
  <si>
    <t>Shree Polythene and Plastic udhyog</t>
  </si>
  <si>
    <t>Balaju Industrial State, kathmandu</t>
  </si>
  <si>
    <t>Printing-850238074-1</t>
  </si>
  <si>
    <t>Printing-850238074-2</t>
  </si>
  <si>
    <t>Diesel</t>
  </si>
  <si>
    <t>38.29 MJ/L</t>
  </si>
  <si>
    <t>WARNING: COMBUSTION_FUEL_INPUT_UNUSUALLY_LOW_VS_RATED_DUTY</t>
  </si>
  <si>
    <t>National Plastic Industry</t>
  </si>
  <si>
    <t>Balaju Industrial State</t>
  </si>
  <si>
    <t>Printing-850257306-1</t>
  </si>
  <si>
    <t>75–100%</t>
  </si>
  <si>
    <t>Godawari Printng</t>
  </si>
  <si>
    <t>Balaju Industrial state</t>
  </si>
  <si>
    <t>Printing-850264496-1</t>
  </si>
  <si>
    <t>No</t>
  </si>
  <si>
    <t>Sona Packaging</t>
  </si>
  <si>
    <t>Padsari, Lumbini</t>
  </si>
  <si>
    <t>Printing-863762618-1</t>
  </si>
  <si>
    <t>Thermic oil</t>
  </si>
  <si>
    <t>Rice Husk</t>
  </si>
  <si>
    <t>14.5 MJ/kg</t>
  </si>
  <si>
    <t>Moderate</t>
  </si>
  <si>
    <t>Uday Shree Print Pack Pvt Ltd</t>
  </si>
  <si>
    <t>Hatkhola</t>
  </si>
  <si>
    <t>Printing-865109275-1</t>
  </si>
  <si>
    <t>Variable / Don't know</t>
  </si>
  <si>
    <t>MISSING_DAILY_ENERGY</t>
  </si>
  <si>
    <t>Galaxy Packaging</t>
  </si>
  <si>
    <t>Bara</t>
  </si>
  <si>
    <t>Printing-866599821-1</t>
  </si>
  <si>
    <t>Printing-866599821-2</t>
  </si>
  <si>
    <t>3</t>
  </si>
  <si>
    <t>Printing-866599821-3</t>
  </si>
  <si>
    <t>Laminating</t>
  </si>
  <si>
    <t>Laminating-850210461-1</t>
  </si>
  <si>
    <t>Laminating-850238074-1</t>
  </si>
  <si>
    <t>Laminating-850257306-1</t>
  </si>
  <si>
    <t>Laminating-850264496-1</t>
  </si>
  <si>
    <t>HARD: ELECTRIC_DAILY_ENERGY_EXCEEDS_RATED_CAPACITY_X_HOURS</t>
  </si>
  <si>
    <t>Laminating-863762618-1</t>
  </si>
  <si>
    <t>Laminating-865109275-1</t>
  </si>
  <si>
    <t>MISSING_CAPACITY</t>
  </si>
  <si>
    <t>Laminating-866599821-1</t>
  </si>
  <si>
    <t>severity</t>
  </si>
  <si>
    <t>WARNING</t>
  </si>
  <si>
    <t>HARD</t>
  </si>
  <si>
    <t>parameter</t>
  </si>
  <si>
    <t>value</t>
  </si>
  <si>
    <t>unit</t>
  </si>
  <si>
    <t>note / source</t>
  </si>
  <si>
    <t>Electricity</t>
  </si>
  <si>
    <t>MJ/kWh</t>
  </si>
  <si>
    <t>Exact SI energy conversion used for the electrical-input basis.</t>
  </si>
  <si>
    <t>kcal/hr to kW</t>
  </si>
  <si>
    <t>kW per kcal/hr</t>
  </si>
  <si>
    <t>Engineering conversion; 1 kWh = 860.42065 kcal.</t>
  </si>
  <si>
    <t>MJ/L</t>
  </si>
  <si>
    <t>Derived from U.S. EIA diesel heat content of 137,381 Btu/US gallon; replace with the actual fuel specification when available.</t>
  </si>
  <si>
    <t>Wood pellet</t>
  </si>
  <si>
    <t>MJ/kg</t>
  </si>
  <si>
    <t>Default screening value. IEA Bioenergy example gives about 15–16 MJ/kg for wood pellets; replace with supplier/test certificate.</t>
  </si>
  <si>
    <t>Rice husk</t>
  </si>
  <si>
    <t>Default screening value within FAO's typical rice-hull range (~13.8–15.1 MJ/kg); strongly dependent on moisture and ash.</t>
  </si>
  <si>
    <t>Combustion anomaly threshold</t>
  </si>
  <si>
    <t>fraction</t>
  </si>
  <si>
    <t>Flags fuel input below 50% of rated thermal duty × running hours × midpoint load; screening only.</t>
  </si>
  <si>
    <t>Electric anomaly threshold</t>
  </si>
  <si>
    <t>Flags electrical daily energy &gt; 110% of rated electrical capacity × running hours.</t>
  </si>
  <si>
    <t>Annual reconciliation tolerance</t>
  </si>
  <si>
    <t>Flags annual energy inconsistent with daily energy × annual operating days by more than 20%.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</si>
</sst>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B91C1C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topLeftCell="C1" workbookViewId="0">
      <selection activeCell="I1" sqref="I1"/>
    </sheetView>
  </sheetViews>
  <sheetFormatPr defaultRowHeight="13.8"/>
  <cols>
    <col min="1" max="1" width="11.3984375" customWidth="1"/>
    <col min="2" max="2" width="27" customWidth="1"/>
    <col min="3" max="3" width="26.09765625" customWidth="1"/>
    <col min="4" max="4" width="8.69921875" customWidth="1"/>
    <col min="5" max="5" width="8.59765625" customWidth="1"/>
    <col min="6" max="6" width="19.09765625" customWidth="1"/>
    <col min="7" max="7" width="17" customWidth="1"/>
    <col min="8" max="8" width="9.3984375" customWidth="1"/>
    <col min="9" max="9" width="20.8984375" customWidth="1"/>
    <col min="10" max="10" width="17.8984375" customWidth="1"/>
    <col min="11" max="11" width="26.69921875" customWidth="1"/>
    <col min="12" max="12" width="13.59765625" customWidth="1"/>
    <col min="13" max="13" width="16.69921875" customWidth="1"/>
    <col min="14" max="14" width="24.5" customWidth="1"/>
    <col min="15" max="15" width="15.3984375" customWidth="1"/>
    <col min="16" max="16" width="16.09765625" customWidth="1"/>
    <col min="17" max="17" width="17.3984375" customWidth="1"/>
    <col min="18" max="18" width="23.69921875" customWidth="1"/>
    <col min="19" max="19" width="28.59765625" customWidth="1"/>
    <col min="20" max="20" width="18.3984375" customWidth="1"/>
    <col min="21" max="21" width="30.19921875" customWidth="1"/>
    <col min="22" max="22" width="13.69921875" customWidth="1"/>
    <col min="23" max="24" width="32" customWidth="1"/>
    <col min="25" max="25" width="27.3984375" customWidth="1"/>
    <col min="26" max="26" width="28.09765625" customWidth="1"/>
    <col min="27" max="27" width="26.09765625" customWidth="1"/>
    <col min="28" max="28" width="20.19921875" customWidth="1"/>
    <col min="29" max="29" width="18.69921875" customWidth="1"/>
    <col min="30" max="30" width="19.69921875" customWidth="1"/>
    <col min="31" max="31" width="21.09765625" customWidth="1"/>
    <col min="32" max="32" width="24.59765625" customWidth="1"/>
    <col min="33" max="33" width="18.3984375" customWidth="1"/>
    <col min="34" max="34" width="23.3984375" customWidth="1"/>
    <col min="35" max="35" width="25.5" customWidth="1"/>
    <col min="36" max="36" width="17.5" customWidth="1"/>
    <col min="37" max="37" width="23.69921875" customWidth="1"/>
    <col min="38" max="40" width="32" customWidth="1"/>
  </cols>
  <sheetData>
    <row r="1" spans="1:4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t="s">
        <v>37</v>
      </c>
      <c r="AM1" t="s">
        <v>38</v>
      </c>
      <c r="AN1" t="s">
        <v>39</v>
      </c>
    </row>
    <row r="2" spans="1:40" ht="27.6">
      <c r="A2" s="2">
        <v>850210461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>
        <v>50000</v>
      </c>
      <c r="J2" s="2"/>
      <c r="K2" s="2">
        <v>58.1111111108141</v>
      </c>
      <c r="L2" s="2" t="s">
        <v>47</v>
      </c>
      <c r="M2" s="2" t="s">
        <v>48</v>
      </c>
      <c r="N2" s="2">
        <v>0.625</v>
      </c>
      <c r="O2" s="2">
        <v>10</v>
      </c>
      <c r="P2" s="2"/>
      <c r="Q2" s="2">
        <v>60</v>
      </c>
      <c r="R2" s="2"/>
      <c r="S2" s="2">
        <v>266.66666666666669</v>
      </c>
      <c r="T2" s="2">
        <v>960.00000000000011</v>
      </c>
      <c r="U2" s="2">
        <v>80000</v>
      </c>
      <c r="V2" s="2" t="s">
        <v>49</v>
      </c>
      <c r="W2" s="2">
        <v>581.11111110814102</v>
      </c>
      <c r="X2" s="2">
        <v>363.19444444258812</v>
      </c>
      <c r="Y2" s="2">
        <v>26.666666666666668</v>
      </c>
      <c r="Z2" s="2">
        <v>0.45889101338666666</v>
      </c>
      <c r="AA2">
        <v>55</v>
      </c>
      <c r="AB2">
        <v>350</v>
      </c>
      <c r="AC2">
        <v>300</v>
      </c>
      <c r="AD2" t="s">
        <v>50</v>
      </c>
      <c r="AE2">
        <v>1600</v>
      </c>
      <c r="AF2">
        <v>10</v>
      </c>
      <c r="AG2">
        <v>300</v>
      </c>
      <c r="AH2">
        <v>2</v>
      </c>
      <c r="AI2">
        <v>1</v>
      </c>
      <c r="AJ2" t="s">
        <v>51</v>
      </c>
      <c r="AK2" t="s">
        <v>50</v>
      </c>
      <c r="AL2" t="s">
        <v>50</v>
      </c>
      <c r="AM2" t="s">
        <v>52</v>
      </c>
      <c r="AN2">
        <v>0</v>
      </c>
    </row>
    <row r="3" spans="1:40" ht="27.6">
      <c r="A3" s="2">
        <v>850210461</v>
      </c>
      <c r="B3" s="2" t="s">
        <v>40</v>
      </c>
      <c r="C3" s="2" t="s">
        <v>41</v>
      </c>
      <c r="D3" s="2" t="s">
        <v>42</v>
      </c>
      <c r="E3" s="2" t="s">
        <v>53</v>
      </c>
      <c r="F3" s="2" t="s">
        <v>54</v>
      </c>
      <c r="G3" s="2" t="s">
        <v>45</v>
      </c>
      <c r="H3" s="2" t="s">
        <v>55</v>
      </c>
      <c r="I3" s="2"/>
      <c r="J3" s="2">
        <v>85</v>
      </c>
      <c r="K3" s="2">
        <v>85</v>
      </c>
      <c r="L3" s="2" t="s">
        <v>56</v>
      </c>
      <c r="M3" s="2" t="s">
        <v>48</v>
      </c>
      <c r="N3" s="2">
        <v>0.625</v>
      </c>
      <c r="O3" s="2">
        <v>10</v>
      </c>
      <c r="P3" s="2"/>
      <c r="Q3" s="2"/>
      <c r="R3" s="2">
        <v>25</v>
      </c>
      <c r="S3" s="2">
        <v>25</v>
      </c>
      <c r="T3" s="2">
        <v>90</v>
      </c>
      <c r="U3" s="2">
        <v>7500</v>
      </c>
      <c r="V3" s="2" t="s">
        <v>57</v>
      </c>
      <c r="W3" s="2">
        <v>850</v>
      </c>
      <c r="X3" s="2">
        <v>531.25</v>
      </c>
      <c r="Y3" s="2">
        <v>2.5</v>
      </c>
      <c r="Z3" s="2">
        <v>2.9411764705882353E-2</v>
      </c>
      <c r="AA3">
        <v>55</v>
      </c>
      <c r="AB3">
        <v>350</v>
      </c>
      <c r="AC3">
        <v>300</v>
      </c>
      <c r="AD3" t="s">
        <v>50</v>
      </c>
      <c r="AE3">
        <v>1600</v>
      </c>
      <c r="AF3">
        <v>10</v>
      </c>
      <c r="AG3">
        <v>300</v>
      </c>
      <c r="AH3">
        <v>2</v>
      </c>
      <c r="AI3">
        <v>1</v>
      </c>
      <c r="AJ3" t="s">
        <v>51</v>
      </c>
      <c r="AK3" t="s">
        <v>50</v>
      </c>
      <c r="AL3" t="s">
        <v>50</v>
      </c>
      <c r="AM3" t="s">
        <v>52</v>
      </c>
      <c r="AN3">
        <v>0</v>
      </c>
    </row>
    <row r="4" spans="1:40" ht="27.6">
      <c r="A4" s="2">
        <v>850238074</v>
      </c>
      <c r="B4" s="2" t="s">
        <v>58</v>
      </c>
      <c r="C4" s="2" t="s">
        <v>59</v>
      </c>
      <c r="D4" s="2" t="s">
        <v>42</v>
      </c>
      <c r="E4" s="2" t="s">
        <v>43</v>
      </c>
      <c r="F4" s="2" t="s">
        <v>60</v>
      </c>
      <c r="G4" s="2" t="s">
        <v>45</v>
      </c>
      <c r="H4" s="2" t="s">
        <v>55</v>
      </c>
      <c r="I4" s="2"/>
      <c r="J4" s="2">
        <v>90</v>
      </c>
      <c r="K4" s="2">
        <v>90</v>
      </c>
      <c r="L4" s="2" t="s">
        <v>56</v>
      </c>
      <c r="M4" s="2" t="s">
        <v>48</v>
      </c>
      <c r="N4" s="2">
        <v>0.625</v>
      </c>
      <c r="O4" s="2">
        <v>10</v>
      </c>
      <c r="P4" s="2"/>
      <c r="Q4" s="2"/>
      <c r="R4" s="2">
        <v>30</v>
      </c>
      <c r="S4" s="2">
        <v>30</v>
      </c>
      <c r="T4" s="2">
        <v>108</v>
      </c>
      <c r="U4" s="2">
        <v>8700</v>
      </c>
      <c r="V4" s="2" t="s">
        <v>57</v>
      </c>
      <c r="W4" s="2">
        <v>900</v>
      </c>
      <c r="X4" s="2">
        <v>562.5</v>
      </c>
      <c r="Y4" s="2">
        <v>3</v>
      </c>
      <c r="Z4" s="2">
        <v>3.3333333333333333E-2</v>
      </c>
      <c r="AA4">
        <v>60</v>
      </c>
      <c r="AB4">
        <v>500</v>
      </c>
      <c r="AC4">
        <v>400</v>
      </c>
      <c r="AD4" t="s">
        <v>50</v>
      </c>
      <c r="AE4">
        <v>1500</v>
      </c>
      <c r="AF4">
        <v>10</v>
      </c>
      <c r="AG4">
        <v>290</v>
      </c>
      <c r="AH4">
        <v>2</v>
      </c>
      <c r="AI4">
        <v>1</v>
      </c>
      <c r="AJ4" t="s">
        <v>51</v>
      </c>
      <c r="AK4" t="s">
        <v>50</v>
      </c>
      <c r="AL4" t="s">
        <v>50</v>
      </c>
      <c r="AM4" t="s">
        <v>52</v>
      </c>
      <c r="AN4">
        <v>0</v>
      </c>
    </row>
    <row r="5" spans="1:40" ht="27.6">
      <c r="A5" s="2">
        <v>850238074</v>
      </c>
      <c r="B5" s="2" t="s">
        <v>58</v>
      </c>
      <c r="C5" s="2" t="s">
        <v>59</v>
      </c>
      <c r="D5" s="2" t="s">
        <v>42</v>
      </c>
      <c r="E5" s="2" t="s">
        <v>53</v>
      </c>
      <c r="F5" s="2" t="s">
        <v>61</v>
      </c>
      <c r="G5" s="2" t="s">
        <v>45</v>
      </c>
      <c r="H5" s="2" t="s">
        <v>62</v>
      </c>
      <c r="I5" s="2">
        <v>50000</v>
      </c>
      <c r="J5" s="2"/>
      <c r="K5" s="2">
        <v>58.1111111108141</v>
      </c>
      <c r="L5" s="2" t="s">
        <v>47</v>
      </c>
      <c r="M5" s="2" t="s">
        <v>48</v>
      </c>
      <c r="N5" s="2">
        <v>0.625</v>
      </c>
      <c r="O5" s="2">
        <v>10</v>
      </c>
      <c r="P5" s="2">
        <v>10</v>
      </c>
      <c r="Q5" s="2"/>
      <c r="R5" s="2"/>
      <c r="S5" s="2">
        <v>106.36199966806586</v>
      </c>
      <c r="T5" s="2">
        <v>382.90319880503711</v>
      </c>
      <c r="U5" s="2">
        <v>30844.979903739099</v>
      </c>
      <c r="V5" s="2" t="s">
        <v>63</v>
      </c>
      <c r="W5" s="2">
        <v>581.11111110814102</v>
      </c>
      <c r="X5" s="2">
        <v>363.19444444258812</v>
      </c>
      <c r="Y5" s="2">
        <v>10.636199966806586</v>
      </c>
      <c r="Z5" s="2">
        <v>0.18303212180066641</v>
      </c>
      <c r="AA5">
        <v>50</v>
      </c>
      <c r="AB5">
        <v>500</v>
      </c>
      <c r="AC5">
        <v>400</v>
      </c>
      <c r="AD5" t="s">
        <v>50</v>
      </c>
      <c r="AE5">
        <v>1500</v>
      </c>
      <c r="AF5">
        <v>10</v>
      </c>
      <c r="AG5">
        <v>290</v>
      </c>
      <c r="AH5">
        <v>2</v>
      </c>
      <c r="AI5">
        <v>1</v>
      </c>
      <c r="AJ5" t="s">
        <v>51</v>
      </c>
      <c r="AK5" t="s">
        <v>50</v>
      </c>
      <c r="AL5" t="s">
        <v>50</v>
      </c>
      <c r="AM5" t="s">
        <v>64</v>
      </c>
      <c r="AN5">
        <v>1</v>
      </c>
    </row>
    <row r="6" spans="1:40" ht="27.6">
      <c r="A6" s="2">
        <v>850257306</v>
      </c>
      <c r="B6" s="2" t="s">
        <v>65</v>
      </c>
      <c r="C6" s="2" t="s">
        <v>66</v>
      </c>
      <c r="D6" s="2" t="s">
        <v>42</v>
      </c>
      <c r="E6" s="2" t="s">
        <v>43</v>
      </c>
      <c r="F6" s="2" t="s">
        <v>67</v>
      </c>
      <c r="G6" s="2" t="s">
        <v>45</v>
      </c>
      <c r="H6" s="2" t="s">
        <v>55</v>
      </c>
      <c r="I6" s="2"/>
      <c r="J6" s="2">
        <v>80</v>
      </c>
      <c r="K6" s="2">
        <v>80</v>
      </c>
      <c r="L6" s="2" t="s">
        <v>56</v>
      </c>
      <c r="M6" s="2" t="s">
        <v>68</v>
      </c>
      <c r="N6" s="2">
        <v>0.875</v>
      </c>
      <c r="O6" s="2">
        <v>10</v>
      </c>
      <c r="P6" s="2"/>
      <c r="Q6" s="2"/>
      <c r="R6" s="2">
        <v>28</v>
      </c>
      <c r="S6" s="2">
        <v>28</v>
      </c>
      <c r="T6" s="2">
        <v>100.8</v>
      </c>
      <c r="U6" s="2">
        <v>8400</v>
      </c>
      <c r="V6" s="2" t="s">
        <v>57</v>
      </c>
      <c r="W6" s="2">
        <v>800</v>
      </c>
      <c r="X6" s="2">
        <v>700</v>
      </c>
      <c r="Y6" s="2">
        <v>2.8</v>
      </c>
      <c r="Z6" s="2">
        <v>3.4999999999999996E-2</v>
      </c>
      <c r="AA6">
        <v>55</v>
      </c>
      <c r="AB6">
        <v>500</v>
      </c>
      <c r="AC6">
        <v>250</v>
      </c>
      <c r="AD6" t="s">
        <v>50</v>
      </c>
      <c r="AE6">
        <v>1000</v>
      </c>
      <c r="AF6">
        <v>8</v>
      </c>
      <c r="AG6">
        <v>300</v>
      </c>
      <c r="AH6">
        <v>1</v>
      </c>
      <c r="AI6">
        <v>1</v>
      </c>
      <c r="AJ6" t="s">
        <v>51</v>
      </c>
      <c r="AK6" t="s">
        <v>50</v>
      </c>
      <c r="AL6" t="s">
        <v>50</v>
      </c>
      <c r="AM6" t="s">
        <v>52</v>
      </c>
      <c r="AN6">
        <v>0</v>
      </c>
    </row>
    <row r="7" spans="1:40" ht="27.6">
      <c r="A7" s="2">
        <v>850264496</v>
      </c>
      <c r="B7" s="2" t="s">
        <v>69</v>
      </c>
      <c r="C7" s="2" t="s">
        <v>70</v>
      </c>
      <c r="D7" s="2" t="s">
        <v>42</v>
      </c>
      <c r="E7" s="2" t="s">
        <v>43</v>
      </c>
      <c r="F7" s="2" t="s">
        <v>71</v>
      </c>
      <c r="G7" s="2" t="s">
        <v>45</v>
      </c>
      <c r="H7" s="2" t="s">
        <v>55</v>
      </c>
      <c r="I7" s="2"/>
      <c r="J7" s="2">
        <v>90</v>
      </c>
      <c r="K7" s="2">
        <v>90</v>
      </c>
      <c r="L7" s="2" t="s">
        <v>56</v>
      </c>
      <c r="M7" s="2" t="s">
        <v>48</v>
      </c>
      <c r="N7" s="2">
        <v>0.625</v>
      </c>
      <c r="O7" s="2">
        <v>10</v>
      </c>
      <c r="P7" s="2"/>
      <c r="Q7" s="2"/>
      <c r="R7" s="2">
        <v>38</v>
      </c>
      <c r="S7" s="2">
        <v>38</v>
      </c>
      <c r="T7" s="2">
        <v>136.80000000000001</v>
      </c>
      <c r="U7" s="2">
        <v>10830</v>
      </c>
      <c r="V7" s="2" t="s">
        <v>57</v>
      </c>
      <c r="W7" s="2">
        <v>900</v>
      </c>
      <c r="X7" s="2">
        <v>562.5</v>
      </c>
      <c r="Y7" s="2">
        <v>3.8</v>
      </c>
      <c r="Z7" s="2">
        <v>4.2222222222222223E-2</v>
      </c>
      <c r="AA7">
        <v>50</v>
      </c>
      <c r="AB7">
        <v>200</v>
      </c>
      <c r="AC7">
        <v>180</v>
      </c>
      <c r="AD7" t="s">
        <v>72</v>
      </c>
      <c r="AE7">
        <v>800</v>
      </c>
      <c r="AF7">
        <v>10</v>
      </c>
      <c r="AG7">
        <v>285</v>
      </c>
      <c r="AH7">
        <v>1</v>
      </c>
      <c r="AI7">
        <v>1</v>
      </c>
      <c r="AJ7" t="s">
        <v>51</v>
      </c>
      <c r="AK7" t="s">
        <v>50</v>
      </c>
      <c r="AL7" t="s">
        <v>50</v>
      </c>
      <c r="AM7" t="s">
        <v>52</v>
      </c>
      <c r="AN7">
        <v>0</v>
      </c>
    </row>
    <row r="8" spans="1:40" ht="27.6">
      <c r="A8" s="2">
        <v>863762618</v>
      </c>
      <c r="B8" s="2" t="s">
        <v>73</v>
      </c>
      <c r="C8" s="2" t="s">
        <v>74</v>
      </c>
      <c r="D8" s="2" t="s">
        <v>42</v>
      </c>
      <c r="E8" s="2" t="s">
        <v>43</v>
      </c>
      <c r="F8" s="2" t="s">
        <v>75</v>
      </c>
      <c r="G8" s="2" t="s">
        <v>76</v>
      </c>
      <c r="H8" s="2" t="s">
        <v>77</v>
      </c>
      <c r="I8" s="2">
        <v>1000000</v>
      </c>
      <c r="J8" s="2"/>
      <c r="K8" s="2">
        <v>1162.222222216282</v>
      </c>
      <c r="L8" s="2" t="s">
        <v>47</v>
      </c>
      <c r="M8" s="2" t="s">
        <v>48</v>
      </c>
      <c r="N8" s="2">
        <v>0.625</v>
      </c>
      <c r="O8" s="2">
        <v>24</v>
      </c>
      <c r="P8" s="2"/>
      <c r="Q8" s="2">
        <v>3000</v>
      </c>
      <c r="R8" s="2"/>
      <c r="S8" s="2">
        <v>12083.333333333334</v>
      </c>
      <c r="T8" s="2">
        <v>43500</v>
      </c>
      <c r="U8" s="2">
        <v>3625000</v>
      </c>
      <c r="V8" s="2" t="s">
        <v>78</v>
      </c>
      <c r="W8" s="2">
        <v>27893.333333190771</v>
      </c>
      <c r="X8" s="2">
        <v>17433.333333244231</v>
      </c>
      <c r="Y8" s="2">
        <v>503.47222222222223</v>
      </c>
      <c r="Z8" s="2">
        <v>0.43319789675173609</v>
      </c>
      <c r="AD8" t="s">
        <v>72</v>
      </c>
      <c r="AE8">
        <v>15000</v>
      </c>
      <c r="AF8">
        <v>24</v>
      </c>
      <c r="AG8">
        <v>300</v>
      </c>
      <c r="AH8">
        <v>1</v>
      </c>
      <c r="AI8">
        <v>1</v>
      </c>
      <c r="AJ8" t="s">
        <v>79</v>
      </c>
      <c r="AK8" t="s">
        <v>72</v>
      </c>
      <c r="AL8" t="s">
        <v>72</v>
      </c>
      <c r="AM8" t="s">
        <v>52</v>
      </c>
      <c r="AN8">
        <v>0</v>
      </c>
    </row>
    <row r="9" spans="1:40" ht="27.6">
      <c r="A9" s="2">
        <v>865109275</v>
      </c>
      <c r="B9" s="2" t="s">
        <v>80</v>
      </c>
      <c r="C9" s="2" t="s">
        <v>81</v>
      </c>
      <c r="D9" s="2" t="s">
        <v>42</v>
      </c>
      <c r="E9" s="2" t="s">
        <v>43</v>
      </c>
      <c r="F9" s="2" t="s">
        <v>82</v>
      </c>
      <c r="G9" s="2" t="s">
        <v>45</v>
      </c>
      <c r="H9" s="2" t="s">
        <v>55</v>
      </c>
      <c r="I9" s="2"/>
      <c r="J9" s="2">
        <v>144</v>
      </c>
      <c r="K9" s="2">
        <v>144</v>
      </c>
      <c r="L9" s="2" t="s">
        <v>56</v>
      </c>
      <c r="M9" s="2" t="s">
        <v>83</v>
      </c>
      <c r="N9" s="2"/>
      <c r="O9" s="2">
        <v>20</v>
      </c>
      <c r="P9" s="2"/>
      <c r="Q9" s="2"/>
      <c r="R9" s="2"/>
      <c r="S9" s="2"/>
      <c r="T9" s="2"/>
      <c r="U9" s="2"/>
      <c r="V9" s="2"/>
      <c r="W9" s="2">
        <v>2880</v>
      </c>
      <c r="X9" s="2"/>
      <c r="Y9" s="2"/>
      <c r="Z9" s="2"/>
      <c r="AB9">
        <v>250</v>
      </c>
      <c r="AC9">
        <v>200</v>
      </c>
      <c r="AD9" t="s">
        <v>50</v>
      </c>
      <c r="AH9">
        <v>1</v>
      </c>
      <c r="AI9">
        <v>1</v>
      </c>
      <c r="AJ9" t="s">
        <v>79</v>
      </c>
      <c r="AK9" t="s">
        <v>72</v>
      </c>
      <c r="AL9" t="s">
        <v>72</v>
      </c>
      <c r="AM9" t="s">
        <v>84</v>
      </c>
      <c r="AN9">
        <v>1</v>
      </c>
    </row>
    <row r="10" spans="1:40" ht="27.6">
      <c r="A10" s="2">
        <v>866599821</v>
      </c>
      <c r="B10" s="2" t="s">
        <v>85</v>
      </c>
      <c r="C10" s="2" t="s">
        <v>86</v>
      </c>
      <c r="D10" s="2" t="s">
        <v>42</v>
      </c>
      <c r="E10" s="2" t="s">
        <v>43</v>
      </c>
      <c r="F10" s="2" t="s">
        <v>87</v>
      </c>
      <c r="G10" s="2" t="s">
        <v>45</v>
      </c>
      <c r="H10" s="2" t="s">
        <v>46</v>
      </c>
      <c r="I10" s="2">
        <v>600000</v>
      </c>
      <c r="J10" s="2"/>
      <c r="K10" s="2">
        <v>697.33333332976918</v>
      </c>
      <c r="L10" s="2" t="s">
        <v>47</v>
      </c>
      <c r="M10" s="2" t="s">
        <v>48</v>
      </c>
      <c r="N10" s="2">
        <v>0.625</v>
      </c>
      <c r="O10" s="2">
        <v>24</v>
      </c>
      <c r="P10" s="2"/>
      <c r="Q10" s="2">
        <v>1200</v>
      </c>
      <c r="R10" s="2"/>
      <c r="S10" s="2">
        <v>5333.333333333333</v>
      </c>
      <c r="T10" s="2">
        <v>19200</v>
      </c>
      <c r="U10" s="2">
        <v>1600000</v>
      </c>
      <c r="V10" s="2" t="s">
        <v>49</v>
      </c>
      <c r="W10" s="2">
        <v>16735.99999991446</v>
      </c>
      <c r="X10" s="2">
        <v>10459.999999946538</v>
      </c>
      <c r="Y10" s="2">
        <v>222.2222222222222</v>
      </c>
      <c r="Z10" s="2">
        <v>0.31867431485185183</v>
      </c>
      <c r="AA10">
        <v>55</v>
      </c>
      <c r="AB10">
        <v>1000</v>
      </c>
      <c r="AC10">
        <v>860</v>
      </c>
      <c r="AD10" t="s">
        <v>50</v>
      </c>
      <c r="AE10">
        <v>15000</v>
      </c>
      <c r="AF10">
        <v>18</v>
      </c>
      <c r="AG10">
        <v>300</v>
      </c>
      <c r="AH10">
        <v>3</v>
      </c>
      <c r="AI10">
        <v>1</v>
      </c>
      <c r="AJ10" t="s">
        <v>79</v>
      </c>
      <c r="AK10" t="s">
        <v>50</v>
      </c>
      <c r="AL10" t="s">
        <v>50</v>
      </c>
      <c r="AM10" t="s">
        <v>52</v>
      </c>
      <c r="AN10">
        <v>0</v>
      </c>
    </row>
    <row r="11" spans="1:40" ht="27.6">
      <c r="A11" s="2">
        <v>866599821</v>
      </c>
      <c r="B11" s="2" t="s">
        <v>85</v>
      </c>
      <c r="C11" s="2" t="s">
        <v>86</v>
      </c>
      <c r="D11" s="2" t="s">
        <v>42</v>
      </c>
      <c r="E11" s="2" t="s">
        <v>53</v>
      </c>
      <c r="F11" s="2" t="s">
        <v>88</v>
      </c>
      <c r="G11" s="2" t="s">
        <v>45</v>
      </c>
      <c r="H11" s="2" t="s">
        <v>46</v>
      </c>
      <c r="I11" s="2">
        <v>300000</v>
      </c>
      <c r="J11" s="2"/>
      <c r="K11" s="2">
        <v>348.66666666488459</v>
      </c>
      <c r="L11" s="2" t="s">
        <v>47</v>
      </c>
      <c r="M11" s="2" t="s">
        <v>48</v>
      </c>
      <c r="N11" s="2">
        <v>0.625</v>
      </c>
      <c r="O11" s="2">
        <v>24</v>
      </c>
      <c r="P11" s="2"/>
      <c r="Q11" s="2">
        <v>400</v>
      </c>
      <c r="R11" s="2"/>
      <c r="S11" s="2">
        <v>1777.7777777777778</v>
      </c>
      <c r="T11" s="2">
        <v>6400</v>
      </c>
      <c r="U11" s="2">
        <v>533333.33333333337</v>
      </c>
      <c r="V11" s="2" t="s">
        <v>49</v>
      </c>
      <c r="W11" s="2">
        <v>8367.9999999572301</v>
      </c>
      <c r="X11" s="2">
        <v>5229.999999973269</v>
      </c>
      <c r="Y11" s="2">
        <v>74.074074074074076</v>
      </c>
      <c r="Z11" s="2">
        <v>0.21244954323456791</v>
      </c>
      <c r="AB11">
        <v>1000</v>
      </c>
      <c r="AC11">
        <v>860</v>
      </c>
      <c r="AD11" t="s">
        <v>50</v>
      </c>
      <c r="AE11">
        <v>15000</v>
      </c>
      <c r="AF11">
        <v>18</v>
      </c>
      <c r="AG11">
        <v>300</v>
      </c>
      <c r="AH11">
        <v>3</v>
      </c>
      <c r="AI11">
        <v>1</v>
      </c>
      <c r="AJ11" t="s">
        <v>79</v>
      </c>
      <c r="AK11" t="s">
        <v>50</v>
      </c>
      <c r="AL11" t="s">
        <v>50</v>
      </c>
      <c r="AM11" t="s">
        <v>64</v>
      </c>
      <c r="AN11">
        <v>1</v>
      </c>
    </row>
    <row r="12" spans="1:40" ht="27.6">
      <c r="A12" s="2">
        <v>866599821</v>
      </c>
      <c r="B12" s="2" t="s">
        <v>85</v>
      </c>
      <c r="C12" s="2" t="s">
        <v>86</v>
      </c>
      <c r="D12" s="2" t="s">
        <v>42</v>
      </c>
      <c r="E12" s="2" t="s">
        <v>89</v>
      </c>
      <c r="F12" s="2" t="s">
        <v>90</v>
      </c>
      <c r="G12" s="2" t="s">
        <v>45</v>
      </c>
      <c r="H12" s="2" t="s">
        <v>55</v>
      </c>
      <c r="I12" s="2"/>
      <c r="J12" s="2">
        <v>150</v>
      </c>
      <c r="K12" s="2">
        <v>150</v>
      </c>
      <c r="L12" s="2" t="s">
        <v>56</v>
      </c>
      <c r="M12" s="2" t="s">
        <v>83</v>
      </c>
      <c r="N12" s="2"/>
      <c r="O12" s="2">
        <v>12</v>
      </c>
      <c r="P12" s="2"/>
      <c r="Q12" s="2"/>
      <c r="R12" s="2"/>
      <c r="S12" s="2"/>
      <c r="T12" s="2"/>
      <c r="U12" s="2"/>
      <c r="V12" s="2"/>
      <c r="W12" s="2">
        <v>1800</v>
      </c>
      <c r="X12" s="2"/>
      <c r="Y12" s="2"/>
      <c r="Z12" s="2"/>
      <c r="AB12">
        <v>1000</v>
      </c>
      <c r="AC12">
        <v>860</v>
      </c>
      <c r="AD12" t="s">
        <v>50</v>
      </c>
      <c r="AE12">
        <v>15000</v>
      </c>
      <c r="AF12">
        <v>18</v>
      </c>
      <c r="AG12">
        <v>300</v>
      </c>
      <c r="AH12">
        <v>3</v>
      </c>
      <c r="AI12">
        <v>1</v>
      </c>
      <c r="AJ12" t="s">
        <v>79</v>
      </c>
      <c r="AK12" t="s">
        <v>50</v>
      </c>
      <c r="AL12" t="s">
        <v>50</v>
      </c>
      <c r="AM12" t="s">
        <v>84</v>
      </c>
      <c r="AN12">
        <v>1</v>
      </c>
    </row>
    <row r="13" spans="1:40" ht="27.6">
      <c r="A13" s="2">
        <v>850210461</v>
      </c>
      <c r="B13" s="2" t="s">
        <v>40</v>
      </c>
      <c r="C13" s="2" t="s">
        <v>41</v>
      </c>
      <c r="D13" s="2" t="s">
        <v>91</v>
      </c>
      <c r="E13" s="2" t="s">
        <v>43</v>
      </c>
      <c r="F13" s="2" t="s">
        <v>92</v>
      </c>
      <c r="G13" s="2" t="s">
        <v>45</v>
      </c>
      <c r="H13" s="2" t="s">
        <v>55</v>
      </c>
      <c r="I13" s="2"/>
      <c r="J13" s="2">
        <v>30</v>
      </c>
      <c r="K13" s="2">
        <v>30</v>
      </c>
      <c r="L13" s="2" t="s">
        <v>56</v>
      </c>
      <c r="M13" s="2" t="s">
        <v>48</v>
      </c>
      <c r="N13" s="2">
        <v>0.625</v>
      </c>
      <c r="O13" s="2">
        <v>10</v>
      </c>
      <c r="P13" s="2"/>
      <c r="Q13" s="2"/>
      <c r="R13" s="2">
        <v>15</v>
      </c>
      <c r="S13" s="2">
        <v>15</v>
      </c>
      <c r="T13" s="2">
        <v>54</v>
      </c>
      <c r="U13" s="2">
        <v>4500</v>
      </c>
      <c r="V13" s="2" t="s">
        <v>57</v>
      </c>
      <c r="W13" s="2">
        <v>300</v>
      </c>
      <c r="X13" s="2">
        <v>187.5</v>
      </c>
      <c r="Y13" s="2">
        <v>1.5</v>
      </c>
      <c r="Z13" s="2">
        <v>0.05</v>
      </c>
      <c r="AA13">
        <v>55</v>
      </c>
      <c r="AB13">
        <v>350</v>
      </c>
      <c r="AC13">
        <v>300</v>
      </c>
      <c r="AD13" t="s">
        <v>50</v>
      </c>
      <c r="AE13">
        <v>1600</v>
      </c>
      <c r="AF13">
        <v>10</v>
      </c>
      <c r="AG13">
        <v>300</v>
      </c>
      <c r="AH13">
        <v>2</v>
      </c>
      <c r="AI13">
        <v>1</v>
      </c>
      <c r="AJ13" t="s">
        <v>51</v>
      </c>
      <c r="AK13" t="s">
        <v>50</v>
      </c>
      <c r="AL13" t="s">
        <v>50</v>
      </c>
      <c r="AM13" t="s">
        <v>52</v>
      </c>
      <c r="AN13">
        <v>0</v>
      </c>
    </row>
    <row r="14" spans="1:40" ht="27.6">
      <c r="A14" s="2">
        <v>850238074</v>
      </c>
      <c r="B14" s="2" t="s">
        <v>58</v>
      </c>
      <c r="C14" s="2" t="s">
        <v>59</v>
      </c>
      <c r="D14" s="2" t="s">
        <v>91</v>
      </c>
      <c r="E14" s="2" t="s">
        <v>43</v>
      </c>
      <c r="F14" s="2" t="s">
        <v>93</v>
      </c>
      <c r="G14" s="2" t="s">
        <v>76</v>
      </c>
      <c r="H14" s="2" t="s">
        <v>55</v>
      </c>
      <c r="I14" s="2"/>
      <c r="J14" s="2">
        <v>20</v>
      </c>
      <c r="K14" s="2">
        <v>20</v>
      </c>
      <c r="L14" s="2" t="s">
        <v>56</v>
      </c>
      <c r="M14" s="2" t="s">
        <v>48</v>
      </c>
      <c r="N14" s="2">
        <v>0.625</v>
      </c>
      <c r="O14" s="2">
        <v>8</v>
      </c>
      <c r="P14" s="2"/>
      <c r="Q14" s="2"/>
      <c r="R14" s="2">
        <v>15</v>
      </c>
      <c r="S14" s="2">
        <v>15</v>
      </c>
      <c r="T14" s="2">
        <v>54</v>
      </c>
      <c r="U14" s="2">
        <v>4350</v>
      </c>
      <c r="V14" s="2" t="s">
        <v>57</v>
      </c>
      <c r="W14" s="2">
        <v>160</v>
      </c>
      <c r="X14" s="2">
        <v>100</v>
      </c>
      <c r="Y14" s="2">
        <v>1.875</v>
      </c>
      <c r="Z14" s="2">
        <v>9.375E-2</v>
      </c>
      <c r="AA14">
        <v>50</v>
      </c>
      <c r="AB14">
        <v>500</v>
      </c>
      <c r="AC14">
        <v>400</v>
      </c>
      <c r="AD14" t="s">
        <v>50</v>
      </c>
      <c r="AE14">
        <v>1500</v>
      </c>
      <c r="AF14">
        <v>10</v>
      </c>
      <c r="AG14">
        <v>290</v>
      </c>
      <c r="AH14">
        <v>2</v>
      </c>
      <c r="AI14">
        <v>1</v>
      </c>
      <c r="AJ14" t="s">
        <v>51</v>
      </c>
      <c r="AK14" t="s">
        <v>50</v>
      </c>
      <c r="AL14" t="s">
        <v>50</v>
      </c>
      <c r="AM14" t="s">
        <v>52</v>
      </c>
      <c r="AN14">
        <v>0</v>
      </c>
    </row>
    <row r="15" spans="1:40" ht="27.6">
      <c r="A15" s="2">
        <v>850257306</v>
      </c>
      <c r="B15" s="2" t="s">
        <v>65</v>
      </c>
      <c r="C15" s="2" t="s">
        <v>66</v>
      </c>
      <c r="D15" s="2" t="s">
        <v>91</v>
      </c>
      <c r="E15" s="2" t="s">
        <v>43</v>
      </c>
      <c r="F15" s="2" t="s">
        <v>94</v>
      </c>
      <c r="G15" s="2" t="s">
        <v>76</v>
      </c>
      <c r="H15" s="2" t="s">
        <v>55</v>
      </c>
      <c r="I15" s="2"/>
      <c r="J15" s="2">
        <v>25</v>
      </c>
      <c r="K15" s="2">
        <v>25</v>
      </c>
      <c r="L15" s="2" t="s">
        <v>56</v>
      </c>
      <c r="M15" s="2" t="s">
        <v>48</v>
      </c>
      <c r="N15" s="2">
        <v>0.625</v>
      </c>
      <c r="O15" s="2">
        <v>8</v>
      </c>
      <c r="P15" s="2"/>
      <c r="Q15" s="2"/>
      <c r="R15" s="2">
        <v>12</v>
      </c>
      <c r="S15" s="2">
        <v>12</v>
      </c>
      <c r="T15" s="2">
        <v>43.2</v>
      </c>
      <c r="U15" s="2">
        <v>3600</v>
      </c>
      <c r="V15" s="2" t="s">
        <v>57</v>
      </c>
      <c r="W15" s="2">
        <v>200</v>
      </c>
      <c r="X15" s="2">
        <v>125</v>
      </c>
      <c r="Y15" s="2">
        <v>1.5</v>
      </c>
      <c r="Z15" s="2">
        <v>0.06</v>
      </c>
      <c r="AA15">
        <v>45</v>
      </c>
      <c r="AB15">
        <v>500</v>
      </c>
      <c r="AC15">
        <v>250</v>
      </c>
      <c r="AD15" t="s">
        <v>50</v>
      </c>
      <c r="AE15">
        <v>1000</v>
      </c>
      <c r="AF15">
        <v>8</v>
      </c>
      <c r="AG15">
        <v>300</v>
      </c>
      <c r="AH15">
        <v>1</v>
      </c>
      <c r="AI15">
        <v>1</v>
      </c>
      <c r="AJ15" t="s">
        <v>51</v>
      </c>
      <c r="AK15" t="s">
        <v>50</v>
      </c>
      <c r="AL15" t="s">
        <v>50</v>
      </c>
      <c r="AM15" t="s">
        <v>52</v>
      </c>
      <c r="AN15">
        <v>0</v>
      </c>
    </row>
    <row r="16" spans="1:40" ht="27.6">
      <c r="A16" s="2">
        <v>850264496</v>
      </c>
      <c r="B16" s="2" t="s">
        <v>69</v>
      </c>
      <c r="C16" s="2" t="s">
        <v>70</v>
      </c>
      <c r="D16" s="2" t="s">
        <v>91</v>
      </c>
      <c r="E16" s="2" t="s">
        <v>43</v>
      </c>
      <c r="F16" s="2" t="s">
        <v>95</v>
      </c>
      <c r="G16" s="2" t="s">
        <v>76</v>
      </c>
      <c r="H16" s="2" t="s">
        <v>55</v>
      </c>
      <c r="I16" s="2"/>
      <c r="J16" s="2">
        <v>28</v>
      </c>
      <c r="K16" s="2">
        <v>28</v>
      </c>
      <c r="L16" s="2" t="s">
        <v>56</v>
      </c>
      <c r="M16" s="2" t="s">
        <v>48</v>
      </c>
      <c r="N16" s="2">
        <v>0.625</v>
      </c>
      <c r="O16" s="2">
        <v>10</v>
      </c>
      <c r="P16" s="2"/>
      <c r="Q16" s="2"/>
      <c r="R16" s="2">
        <v>1096</v>
      </c>
      <c r="S16" s="2">
        <v>1096</v>
      </c>
      <c r="T16" s="2">
        <v>3945.6</v>
      </c>
      <c r="U16" s="2">
        <v>312360</v>
      </c>
      <c r="V16" s="2" t="s">
        <v>57</v>
      </c>
      <c r="W16" s="2">
        <v>280</v>
      </c>
      <c r="X16" s="2">
        <v>175</v>
      </c>
      <c r="Y16" s="2">
        <v>109.6</v>
      </c>
      <c r="Z16" s="2">
        <v>3.9142857142857141</v>
      </c>
      <c r="AA16">
        <v>48</v>
      </c>
      <c r="AB16">
        <v>200</v>
      </c>
      <c r="AC16">
        <v>180</v>
      </c>
      <c r="AD16" t="s">
        <v>72</v>
      </c>
      <c r="AE16">
        <v>800</v>
      </c>
      <c r="AF16">
        <v>10</v>
      </c>
      <c r="AG16">
        <v>285</v>
      </c>
      <c r="AH16">
        <v>1</v>
      </c>
      <c r="AI16">
        <v>1</v>
      </c>
      <c r="AJ16" t="s">
        <v>51</v>
      </c>
      <c r="AK16" t="s">
        <v>50</v>
      </c>
      <c r="AL16" t="s">
        <v>50</v>
      </c>
      <c r="AM16" t="s">
        <v>96</v>
      </c>
      <c r="AN16">
        <v>1</v>
      </c>
    </row>
    <row r="17" spans="1:40" ht="27.6">
      <c r="A17" s="2">
        <v>863762618</v>
      </c>
      <c r="B17" s="2" t="s">
        <v>73</v>
      </c>
      <c r="C17" s="2" t="s">
        <v>74</v>
      </c>
      <c r="D17" s="2" t="s">
        <v>91</v>
      </c>
      <c r="E17" s="2" t="s">
        <v>43</v>
      </c>
      <c r="F17" s="2" t="s">
        <v>97</v>
      </c>
      <c r="G17" s="2" t="s">
        <v>76</v>
      </c>
      <c r="H17" s="2" t="s">
        <v>77</v>
      </c>
      <c r="I17" s="2">
        <v>1000000</v>
      </c>
      <c r="J17" s="2"/>
      <c r="K17" s="2">
        <v>1162.222222216282</v>
      </c>
      <c r="L17" s="2" t="s">
        <v>47</v>
      </c>
      <c r="M17" s="2" t="s">
        <v>48</v>
      </c>
      <c r="N17" s="2">
        <v>0.625</v>
      </c>
      <c r="O17" s="2">
        <v>24</v>
      </c>
      <c r="P17" s="2"/>
      <c r="Q17" s="2">
        <v>3000</v>
      </c>
      <c r="R17" s="2"/>
      <c r="S17" s="2">
        <v>12083.333333333334</v>
      </c>
      <c r="T17" s="2">
        <v>43500</v>
      </c>
      <c r="U17" s="2">
        <v>3625000</v>
      </c>
      <c r="V17" s="2" t="s">
        <v>78</v>
      </c>
      <c r="W17" s="2">
        <v>27893.333333190771</v>
      </c>
      <c r="X17" s="2">
        <v>17433.333333244231</v>
      </c>
      <c r="Y17" s="2">
        <v>503.47222222222223</v>
      </c>
      <c r="Z17" s="2">
        <v>0.43319789675173609</v>
      </c>
      <c r="AD17" t="s">
        <v>72</v>
      </c>
      <c r="AE17">
        <v>15000</v>
      </c>
      <c r="AF17">
        <v>24</v>
      </c>
      <c r="AG17">
        <v>300</v>
      </c>
      <c r="AH17">
        <v>1</v>
      </c>
      <c r="AI17">
        <v>1</v>
      </c>
      <c r="AJ17" t="s">
        <v>79</v>
      </c>
      <c r="AK17" t="s">
        <v>72</v>
      </c>
      <c r="AL17" t="s">
        <v>72</v>
      </c>
      <c r="AM17" t="s">
        <v>52</v>
      </c>
      <c r="AN17">
        <v>0</v>
      </c>
    </row>
    <row r="18" spans="1:40" ht="27.6">
      <c r="A18" s="2">
        <v>865109275</v>
      </c>
      <c r="B18" s="2" t="s">
        <v>80</v>
      </c>
      <c r="C18" s="2" t="s">
        <v>81</v>
      </c>
      <c r="D18" s="2" t="s">
        <v>91</v>
      </c>
      <c r="E18" s="2" t="s">
        <v>43</v>
      </c>
      <c r="F18" s="2" t="s">
        <v>98</v>
      </c>
      <c r="G18" s="2" t="s">
        <v>76</v>
      </c>
      <c r="H18" s="2" t="s">
        <v>55</v>
      </c>
      <c r="I18" s="2"/>
      <c r="J18" s="2"/>
      <c r="K18" s="2"/>
      <c r="L18" s="2"/>
      <c r="M18" s="2" t="s">
        <v>83</v>
      </c>
      <c r="N18" s="2"/>
      <c r="O18" s="2">
        <v>12</v>
      </c>
      <c r="P18" s="2"/>
      <c r="Q18" s="2"/>
      <c r="R18" s="2">
        <v>1200</v>
      </c>
      <c r="S18" s="2">
        <v>1200</v>
      </c>
      <c r="T18" s="2">
        <v>4320</v>
      </c>
      <c r="U18" s="2"/>
      <c r="V18" s="2" t="s">
        <v>57</v>
      </c>
      <c r="W18" s="2"/>
      <c r="X18" s="2"/>
      <c r="Y18" s="2">
        <v>100</v>
      </c>
      <c r="Z18" s="2"/>
      <c r="AB18">
        <v>250</v>
      </c>
      <c r="AC18">
        <v>200</v>
      </c>
      <c r="AD18" t="s">
        <v>50</v>
      </c>
      <c r="AH18">
        <v>1</v>
      </c>
      <c r="AI18">
        <v>1</v>
      </c>
      <c r="AJ18" t="s">
        <v>79</v>
      </c>
      <c r="AK18" t="s">
        <v>72</v>
      </c>
      <c r="AL18" t="s">
        <v>72</v>
      </c>
      <c r="AM18" t="s">
        <v>99</v>
      </c>
      <c r="AN18">
        <v>1</v>
      </c>
    </row>
    <row r="19" spans="1:40" ht="27.6">
      <c r="A19" s="2">
        <v>866599821</v>
      </c>
      <c r="B19" s="2" t="s">
        <v>85</v>
      </c>
      <c r="C19" s="2" t="s">
        <v>86</v>
      </c>
      <c r="D19" s="2" t="s">
        <v>91</v>
      </c>
      <c r="E19" s="2" t="s">
        <v>43</v>
      </c>
      <c r="F19" s="2" t="s">
        <v>100</v>
      </c>
      <c r="G19" s="2" t="s">
        <v>45</v>
      </c>
      <c r="H19" s="2" t="s">
        <v>46</v>
      </c>
      <c r="I19" s="2">
        <v>100000</v>
      </c>
      <c r="J19" s="2"/>
      <c r="K19" s="2">
        <v>116.2222222216282</v>
      </c>
      <c r="L19" s="2" t="s">
        <v>47</v>
      </c>
      <c r="M19" s="2"/>
      <c r="N19" s="2"/>
      <c r="O19" s="2">
        <v>12</v>
      </c>
      <c r="P19" s="2"/>
      <c r="Q19" s="2">
        <v>150</v>
      </c>
      <c r="R19" s="2"/>
      <c r="S19" s="2">
        <v>666.66666666666663</v>
      </c>
      <c r="T19" s="2">
        <v>2400</v>
      </c>
      <c r="U19" s="2">
        <v>200000</v>
      </c>
      <c r="V19" s="2" t="s">
        <v>49</v>
      </c>
      <c r="W19" s="2">
        <v>1394.6666666595384</v>
      </c>
      <c r="X19" s="2"/>
      <c r="Y19" s="2">
        <v>55.55555555555555</v>
      </c>
      <c r="Z19" s="2">
        <v>0.47801147227777774</v>
      </c>
      <c r="AA19">
        <v>55</v>
      </c>
      <c r="AB19">
        <v>1000</v>
      </c>
      <c r="AC19">
        <v>860</v>
      </c>
      <c r="AD19" t="s">
        <v>50</v>
      </c>
      <c r="AE19">
        <v>15000</v>
      </c>
      <c r="AF19">
        <v>18</v>
      </c>
      <c r="AG19">
        <v>300</v>
      </c>
      <c r="AH19">
        <v>3</v>
      </c>
      <c r="AI19">
        <v>1</v>
      </c>
      <c r="AJ19" t="s">
        <v>79</v>
      </c>
      <c r="AK19" t="s">
        <v>50</v>
      </c>
      <c r="AL19" t="s">
        <v>50</v>
      </c>
      <c r="AM19" t="s">
        <v>52</v>
      </c>
      <c r="AN19">
        <v>0</v>
      </c>
    </row>
  </sheetData>
  <conditionalFormatting sqref="AM2:AM19">
    <cfRule type="expression" dxfId="0" priority="1">
      <formula>AM2&lt;&gt;"OK"</formula>
    </cfRule>
  </conditionalFormatting>
  <conditionalFormatting sqref="K2:K19">
    <cfRule type="dataBar" priority="2">
      <dataBar>
        <cfvo type="min"/>
        <cfvo type="max"/>
        <color rgb="FF0F766E"/>
      </dataBar>
    </cfRule>
  </conditionalFormatting>
  <conditionalFormatting sqref="S2:S19">
    <cfRule type="dataBar" priority="3">
      <dataBar>
        <cfvo type="min"/>
        <cfvo type="max"/>
        <color rgb="FF0F766E"/>
      </dataBar>
    </cfRule>
  </conditionalFormatting>
  <conditionalFormatting sqref="K2:K19"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{DC3ACBEF-2E8F-2EE6-7119-F02A1FB13684}</x14:id>
        </ext>
      </extLst>
    </cfRule>
  </conditionalFormatting>
  <conditionalFormatting sqref="S2:S19">
    <cfRule type="dataBar" priority="5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{FEBFFA4F-577E-45A3-83F3-D146AC67AFD6}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3ACBEF-2E8F-2EE6-7119-F02A1FB13684}">
            <x14:dataBar>
              <x14:cfvo type="min"/>
              <x14:cfvo type="max"/>
              <x14:negativeFillColor auto="1"/>
              <x14:axisColor auto="1"/>
            </x14:dataBar>
          </x14:cfRule>
          <xm:sqref>K2:K19</xm:sqref>
        </x14:conditionalFormatting>
        <x14:conditionalFormatting xmlns:xm="http://schemas.microsoft.com/office/excel/2006/main">
          <x14:cfRule type="dataBar" id="{FEBFFA4F-577E-45A3-83F3-D146AC67AFD6}">
            <x14:dataBar>
              <x14:cfvo type="min"/>
              <x14:cfvo type="max"/>
              <x14:negativeFillColor auto="1"/>
              <x14:axisColor auto="1"/>
            </x14:dataBar>
          </x14:cfRule>
          <xm:sqref>S2:S19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workbookViewId="0"/>
  </sheetViews>
  <sheetFormatPr defaultRowHeight="13.8"/>
  <cols>
    <col min="1" max="1" width="19.09765625" customWidth="1"/>
    <col min="2" max="2" width="11.3984375" customWidth="1"/>
    <col min="3" max="3" width="27" customWidth="1"/>
    <col min="4" max="4" width="8.69921875" customWidth="1"/>
    <col min="5" max="5" width="9.3984375" customWidth="1"/>
    <col min="6" max="6" width="12.3984375" customWidth="1"/>
    <col min="7" max="7" width="8.09765625" customWidth="1"/>
    <col min="8" max="8" width="57.5" customWidth="1"/>
    <col min="9" max="9" width="26.69921875" customWidth="1"/>
    <col min="10" max="10" width="15.3984375" customWidth="1"/>
    <col min="11" max="11" width="28.59765625" customWidth="1"/>
    <col min="12" max="12" width="35.59765625" customWidth="1"/>
    <col min="13" max="13" width="24.5" customWidth="1"/>
  </cols>
  <sheetData>
    <row r="1" spans="1:26" ht="27.6">
      <c r="A1" s="3" t="s">
        <v>5</v>
      </c>
      <c r="B1" s="3" t="s">
        <v>0</v>
      </c>
      <c r="C1" s="3" t="s">
        <v>1</v>
      </c>
      <c r="D1" s="3" t="s">
        <v>3</v>
      </c>
      <c r="E1" s="3" t="s">
        <v>7</v>
      </c>
      <c r="F1" s="3" t="s">
        <v>39</v>
      </c>
      <c r="G1" s="3" t="s">
        <v>101</v>
      </c>
      <c r="H1" s="3" t="s">
        <v>38</v>
      </c>
      <c r="I1" s="3" t="s">
        <v>10</v>
      </c>
      <c r="J1" s="3" t="s">
        <v>14</v>
      </c>
      <c r="K1" s="3" t="s">
        <v>18</v>
      </c>
      <c r="L1" s="3" t="s">
        <v>22</v>
      </c>
      <c r="M1" s="3" t="s">
        <v>13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t="s">
        <v>61</v>
      </c>
      <c r="B2">
        <v>850238074</v>
      </c>
      <c r="C2" t="s">
        <v>58</v>
      </c>
      <c r="D2" t="s">
        <v>42</v>
      </c>
      <c r="E2" t="s">
        <v>62</v>
      </c>
      <c r="F2">
        <v>1</v>
      </c>
      <c r="G2" t="s">
        <v>102</v>
      </c>
      <c r="H2" t="s">
        <v>64</v>
      </c>
      <c r="I2">
        <v>58.1111111108141</v>
      </c>
      <c r="J2">
        <v>10</v>
      </c>
      <c r="K2">
        <v>106.36199966806586</v>
      </c>
      <c r="L2">
        <v>581.11111110814102</v>
      </c>
      <c r="M2">
        <v>0.625</v>
      </c>
    </row>
    <row r="3" spans="1:26">
      <c r="A3" t="s">
        <v>82</v>
      </c>
      <c r="B3">
        <v>865109275</v>
      </c>
      <c r="C3" t="s">
        <v>80</v>
      </c>
      <c r="D3" t="s">
        <v>42</v>
      </c>
      <c r="E3" t="s">
        <v>55</v>
      </c>
      <c r="F3">
        <v>1</v>
      </c>
      <c r="G3" t="s">
        <v>103</v>
      </c>
      <c r="H3" t="s">
        <v>84</v>
      </c>
      <c r="I3">
        <v>144</v>
      </c>
      <c r="J3">
        <v>20</v>
      </c>
      <c r="L3">
        <v>2880</v>
      </c>
    </row>
    <row r="4" spans="1:26">
      <c r="A4" t="s">
        <v>88</v>
      </c>
      <c r="B4">
        <v>866599821</v>
      </c>
      <c r="C4" t="s">
        <v>85</v>
      </c>
      <c r="D4" t="s">
        <v>42</v>
      </c>
      <c r="E4" t="s">
        <v>46</v>
      </c>
      <c r="F4">
        <v>1</v>
      </c>
      <c r="G4" t="s">
        <v>102</v>
      </c>
      <c r="H4" t="s">
        <v>64</v>
      </c>
      <c r="I4">
        <v>348.66666666488459</v>
      </c>
      <c r="J4">
        <v>24</v>
      </c>
      <c r="K4">
        <v>1777.7777777777778</v>
      </c>
      <c r="L4">
        <v>8367.9999999572301</v>
      </c>
      <c r="M4">
        <v>0.625</v>
      </c>
    </row>
    <row r="5" spans="1:26">
      <c r="A5" t="s">
        <v>90</v>
      </c>
      <c r="B5">
        <v>866599821</v>
      </c>
      <c r="C5" t="s">
        <v>85</v>
      </c>
      <c r="D5" t="s">
        <v>42</v>
      </c>
      <c r="E5" t="s">
        <v>55</v>
      </c>
      <c r="F5">
        <v>1</v>
      </c>
      <c r="G5" t="s">
        <v>103</v>
      </c>
      <c r="H5" t="s">
        <v>84</v>
      </c>
      <c r="I5">
        <v>150</v>
      </c>
      <c r="J5">
        <v>12</v>
      </c>
      <c r="L5">
        <v>1800</v>
      </c>
    </row>
    <row r="6" spans="1:26">
      <c r="A6" t="s">
        <v>95</v>
      </c>
      <c r="B6">
        <v>850264496</v>
      </c>
      <c r="C6" t="s">
        <v>69</v>
      </c>
      <c r="D6" t="s">
        <v>91</v>
      </c>
      <c r="E6" t="s">
        <v>55</v>
      </c>
      <c r="F6">
        <v>1</v>
      </c>
      <c r="G6" t="s">
        <v>103</v>
      </c>
      <c r="H6" t="s">
        <v>96</v>
      </c>
      <c r="I6">
        <v>28</v>
      </c>
      <c r="J6">
        <v>10</v>
      </c>
      <c r="K6">
        <v>1096</v>
      </c>
      <c r="L6">
        <v>280</v>
      </c>
      <c r="M6">
        <v>0.625</v>
      </c>
    </row>
    <row r="7" spans="1:26">
      <c r="A7" t="s">
        <v>98</v>
      </c>
      <c r="B7">
        <v>865109275</v>
      </c>
      <c r="C7" t="s">
        <v>80</v>
      </c>
      <c r="D7" t="s">
        <v>91</v>
      </c>
      <c r="E7" t="s">
        <v>55</v>
      </c>
      <c r="F7">
        <v>1</v>
      </c>
      <c r="G7" t="s">
        <v>103</v>
      </c>
      <c r="H7" t="s">
        <v>99</v>
      </c>
      <c r="J7">
        <v>12</v>
      </c>
      <c r="K7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3.8"/>
  <cols>
    <col min="1" max="3" width="28" customWidth="1"/>
    <col min="4" max="4" width="70" customWidth="1"/>
  </cols>
  <sheetData>
    <row r="1" spans="1:4">
      <c r="A1" s="4" t="s">
        <v>104</v>
      </c>
      <c r="B1" s="4" t="s">
        <v>105</v>
      </c>
      <c r="C1" s="4" t="s">
        <v>106</v>
      </c>
      <c r="D1" s="4" t="s">
        <v>107</v>
      </c>
    </row>
    <row r="2" spans="1:4">
      <c r="A2" t="s">
        <v>108</v>
      </c>
      <c r="B2">
        <v>3.6</v>
      </c>
      <c r="C2" t="s">
        <v>109</v>
      </c>
      <c r="D2" t="s">
        <v>110</v>
      </c>
    </row>
    <row r="3" spans="1:4">
      <c r="A3" t="s">
        <v>111</v>
      </c>
      <c r="B3">
        <v>1.1622222222162819E-3</v>
      </c>
      <c r="C3" t="s">
        <v>112</v>
      </c>
      <c r="D3" t="s">
        <v>113</v>
      </c>
    </row>
    <row r="4" spans="1:4">
      <c r="A4" t="s">
        <v>62</v>
      </c>
      <c r="B4">
        <v>38.290319880503709</v>
      </c>
      <c r="C4" t="s">
        <v>114</v>
      </c>
      <c r="D4" t="s">
        <v>115</v>
      </c>
    </row>
    <row r="5" spans="1:4">
      <c r="A5" t="s">
        <v>116</v>
      </c>
      <c r="B5">
        <v>16</v>
      </c>
      <c r="C5" t="s">
        <v>117</v>
      </c>
      <c r="D5" t="s">
        <v>118</v>
      </c>
    </row>
    <row r="6" spans="1:4">
      <c r="A6" t="s">
        <v>119</v>
      </c>
      <c r="B6">
        <v>14.5</v>
      </c>
      <c r="C6" t="s">
        <v>117</v>
      </c>
      <c r="D6" t="s">
        <v>120</v>
      </c>
    </row>
    <row r="7" spans="1:4">
      <c r="A7" t="s">
        <v>121</v>
      </c>
      <c r="B7">
        <v>0.5</v>
      </c>
      <c r="C7" t="s">
        <v>122</v>
      </c>
      <c r="D7" t="s">
        <v>123</v>
      </c>
    </row>
    <row r="8" spans="1:4">
      <c r="A8" t="s">
        <v>124</v>
      </c>
      <c r="B8">
        <v>1.1000000000000001</v>
      </c>
      <c r="C8" t="s">
        <v>122</v>
      </c>
      <c r="D8" t="s">
        <v>125</v>
      </c>
    </row>
    <row r="9" spans="1:4">
      <c r="A9" t="s">
        <v>126</v>
      </c>
      <c r="B9">
        <v>0.2</v>
      </c>
      <c r="C9" t="s">
        <v>122</v>
      </c>
      <c r="D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clean_per_unit</vt:lpstr>
      <vt:lpstr>anomalies</vt:lpstr>
      <vt:lpstr>conversion_factors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2026-09-14T05:49:16Z</dcterms:modified>
</cp:coreProperties>
</file>